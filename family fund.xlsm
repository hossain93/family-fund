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ssain\Downloads\"/>
    </mc:Choice>
  </mc:AlternateContent>
  <bookViews>
    <workbookView xWindow="0" yWindow="0" windowWidth="23040" windowHeight="8904"/>
  </bookViews>
  <sheets>
    <sheet name="detail cash" sheetId="5" r:id="rId1"/>
    <sheet name="person" sheetId="2" r:id="rId2"/>
    <sheet name="trans" sheetId="3" r:id="rId3"/>
    <sheet name="loan" sheetId="7" r:id="rId4"/>
    <sheet name="loan guarantor" sheetId="8" r:id="rId5"/>
    <sheet name="main" sheetId="4" r:id="rId6"/>
    <sheet name="projects" sheetId="6" r:id="rId7"/>
  </sheets>
  <functionGroups builtInGroupCount="18"/>
  <definedNames>
    <definedName name="برداشت">person!$Q$2:$Q$4</definedName>
    <definedName name="نام_صاحب_حساب">Table1[[#All],[نام صاحب حساب]]</definedName>
    <definedName name="واريز">person!$P$2:$P$4</definedName>
  </definedNames>
  <calcPr calcId="162913"/>
</workbook>
</file>

<file path=xl/calcChain.xml><?xml version="1.0" encoding="utf-8"?>
<calcChain xmlns="http://schemas.openxmlformats.org/spreadsheetml/2006/main">
  <c r="F2" i="2" l="1"/>
  <c r="F10" i="2"/>
  <c r="F11" i="2"/>
  <c r="F12" i="2"/>
  <c r="F13" i="2"/>
  <c r="F14" i="2"/>
  <c r="F15" i="2"/>
  <c r="A15" i="2"/>
  <c r="K15" i="2"/>
  <c r="A14" i="2"/>
  <c r="K14" i="2"/>
  <c r="A13" i="2"/>
  <c r="K13" i="2"/>
  <c r="A12" i="2"/>
  <c r="K12" i="2"/>
  <c r="A11" i="2"/>
  <c r="K11" i="2"/>
  <c r="A10" i="2"/>
  <c r="K10" i="2"/>
  <c r="F5" i="2" l="1"/>
  <c r="F6" i="2"/>
  <c r="F7" i="2"/>
  <c r="F8" i="2"/>
  <c r="F9" i="2"/>
  <c r="F3" i="2"/>
  <c r="F4" i="2"/>
  <c r="I5" i="5" l="1"/>
  <c r="A9" i="2" l="1"/>
  <c r="K9" i="2"/>
  <c r="R5" i="7" l="1"/>
  <c r="Q1" i="7" l="1"/>
  <c r="B3" i="8" l="1"/>
  <c r="C3" i="8"/>
  <c r="D3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E3" i="8"/>
  <c r="A2" i="2" l="1"/>
  <c r="K8" i="2"/>
  <c r="A8" i="2"/>
  <c r="K7" i="2"/>
  <c r="A7" i="2"/>
  <c r="K6" i="2"/>
  <c r="A6" i="2"/>
  <c r="K5" i="2"/>
  <c r="A5" i="2"/>
  <c r="K4" i="2"/>
  <c r="A4" i="2"/>
  <c r="K3" i="2"/>
  <c r="A3" i="2"/>
  <c r="K2" i="2"/>
  <c r="Q3" i="7" l="1"/>
</calcChain>
</file>

<file path=xl/sharedStrings.xml><?xml version="1.0" encoding="utf-8"?>
<sst xmlns="http://schemas.openxmlformats.org/spreadsheetml/2006/main" count="136" uniqueCount="83">
  <si>
    <t>نام صاحب حساب</t>
  </si>
  <si>
    <t>تاریخ</t>
  </si>
  <si>
    <t>رویداد</t>
  </si>
  <si>
    <t xml:space="preserve">نوع </t>
  </si>
  <si>
    <t>مبلغ</t>
  </si>
  <si>
    <t>وضعیت</t>
  </si>
  <si>
    <t>افتتاح حساب</t>
  </si>
  <si>
    <t>اقساط وام</t>
  </si>
  <si>
    <t>برداشت</t>
  </si>
  <si>
    <t>وام</t>
  </si>
  <si>
    <t>مخارج صندوق</t>
  </si>
  <si>
    <t>تاریخ افتتاح حساب</t>
  </si>
  <si>
    <t>حسین سلطانی</t>
  </si>
  <si>
    <t>تاریخ شروع به کار صندوق</t>
  </si>
  <si>
    <t>ردیف</t>
  </si>
  <si>
    <t>پس انداز کل افراد صندوق (از ابتدا تا اکنون)</t>
  </si>
  <si>
    <t>مانده اقساط پس انداز ماهانه ثابت</t>
  </si>
  <si>
    <t>سرمایه گذاری در صندوق</t>
  </si>
  <si>
    <t>مجموع پس انداز ماهانه ثابت</t>
  </si>
  <si>
    <t>وضعیت پس انداز ماهانه ثابت</t>
  </si>
  <si>
    <t>سود کسب کرده  ناشی از پس انداز ماهانه ثابت</t>
  </si>
  <si>
    <t>سود کسب کرده ناشی از سرمایه گذاری</t>
  </si>
  <si>
    <t>مجموع سرمایه فرد در صندوق</t>
  </si>
  <si>
    <t>شماره پیگیری تراکنش</t>
  </si>
  <si>
    <t>صندوق</t>
  </si>
  <si>
    <t>تعداد وام فعال</t>
  </si>
  <si>
    <t>شماره وام</t>
  </si>
  <si>
    <t>محمد حسین سلطانی</t>
  </si>
  <si>
    <t>مجموع پول ماهانه ثابت یک نفر از ابتدا تا اکنون</t>
  </si>
  <si>
    <t>درآمد صندوق از کارمزد</t>
  </si>
  <si>
    <t>بودجه صندوق در حال حاضر</t>
  </si>
  <si>
    <t>مجموع پول ماهانه ثابت همه افراد از ابتدا تا اکنون</t>
  </si>
  <si>
    <t>پس انداز ثابت</t>
  </si>
  <si>
    <t>درصد کارمزد وام</t>
  </si>
  <si>
    <t>تعداد اقساط</t>
  </si>
  <si>
    <t>نام وام گیرنده</t>
  </si>
  <si>
    <t>مبلغ وام</t>
  </si>
  <si>
    <t>تاریخ گرفتن وام</t>
  </si>
  <si>
    <t>1402/05/13</t>
  </si>
  <si>
    <t>کد شناسایی</t>
  </si>
  <si>
    <t>ضامن ها</t>
  </si>
  <si>
    <t>ضامن 1</t>
  </si>
  <si>
    <t>ضامن 2</t>
  </si>
  <si>
    <t>ضامن 3</t>
  </si>
  <si>
    <t>ضامن 4</t>
  </si>
  <si>
    <t>ضامن 5</t>
  </si>
  <si>
    <t>ضامن 6</t>
  </si>
  <si>
    <t>ضامن 7</t>
  </si>
  <si>
    <t>ضامن 8</t>
  </si>
  <si>
    <t>ضامن 9</t>
  </si>
  <si>
    <t>ضامن 10</t>
  </si>
  <si>
    <t>ضامن 11</t>
  </si>
  <si>
    <t>ضامن 12</t>
  </si>
  <si>
    <t>ضامن 13</t>
  </si>
  <si>
    <t>ضامن 14</t>
  </si>
  <si>
    <t>ضامن 15</t>
  </si>
  <si>
    <t>ضامن 16</t>
  </si>
  <si>
    <t>ضامن 17</t>
  </si>
  <si>
    <t>ضامن 18</t>
  </si>
  <si>
    <t>ضامن 19</t>
  </si>
  <si>
    <t>ضامن 20</t>
  </si>
  <si>
    <t>نام ضامن</t>
  </si>
  <si>
    <t>جدول وامهای اعطا شده به اعضا</t>
  </si>
  <si>
    <t>وضعیت وام</t>
  </si>
  <si>
    <t>مبلغ هر قسط</t>
  </si>
  <si>
    <t>,حسین سلطانی,دین محمد سلطانی,</t>
  </si>
  <si>
    <t>واريز</t>
  </si>
  <si>
    <t>علی احمدی</t>
  </si>
  <si>
    <t>مقدار وام های گرفته شده تااکنون</t>
  </si>
  <si>
    <t>تسويه حساب</t>
  </si>
  <si>
    <t>مقدار اقساط وام های پرداخت شده</t>
  </si>
  <si>
    <t>تاریخچه مقدار اقساط ماهانه (تومان)</t>
  </si>
  <si>
    <t>اصغر محمدی</t>
  </si>
  <si>
    <t>فاطمه جعفری</t>
  </si>
  <si>
    <t>سکینه محمدی</t>
  </si>
  <si>
    <t>امیر عزتی</t>
  </si>
  <si>
    <t>علی حشمتی</t>
  </si>
  <si>
    <t>لیلا قدرتمند</t>
  </si>
  <si>
    <t>نوع</t>
  </si>
  <si>
    <t>محمد سلطانی</t>
  </si>
  <si>
    <t>محمود درویشی</t>
  </si>
  <si>
    <t>اسماعیل خدایاری</t>
  </si>
  <si>
    <t>فاطمه کردستانی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</si>
</sst>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960429]dd/mm/yyyy;@"/>
    <numFmt numFmtId="165" formatCode="[$-160429]dd/mm/yyyy;@"/>
    <numFmt numFmtId="166" formatCode="[$-160429]\ yyyy/mm/dd"/>
  </numFmts>
  <fonts count="11">
    <font>
      <sz val="11"/>
      <color theme="1"/>
      <name val="Arial"/>
      <family val="2"/>
      <scheme val="minor"/>
    </font>
    <font>
      <b/>
      <sz val="12"/>
      <color theme="1"/>
      <name val="B Nazanin"/>
      <charset val="178"/>
    </font>
    <font>
      <sz val="11"/>
      <color theme="1"/>
      <name val="B Nazanin"/>
      <charset val="178"/>
    </font>
    <font>
      <sz val="14"/>
      <color theme="1"/>
      <name val="B Nazanin"/>
      <charset val="178"/>
    </font>
    <font>
      <b/>
      <sz val="11"/>
      <color theme="0"/>
      <name val="B Nazanin"/>
      <charset val="178"/>
    </font>
    <font>
      <b/>
      <sz val="11"/>
      <color theme="1"/>
      <name val="B Nazanin"/>
      <charset val="178"/>
    </font>
    <font>
      <sz val="11"/>
      <color theme="0"/>
      <name val="B Nazanin"/>
      <charset val="178"/>
    </font>
    <font>
      <sz val="16"/>
      <color theme="1"/>
      <name val="B Nazanin"/>
      <charset val="178"/>
    </font>
    <font>
      <sz val="11"/>
      <color rgb="FF212529"/>
      <name val="B Nazanin"/>
      <charset val="178"/>
    </font>
    <font>
      <sz val="11"/>
      <color theme="1"/>
      <name val="B Nazanin"/>
    </font>
    <font>
      <b/>
      <sz val="16"/>
      <color rgb="FF000000"/>
      <name val="B Nazanin"/>
      <charset val="178"/>
    </font>
  </fonts>
  <fills count="12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theme="4"/>
      </patternFill>
    </fill>
    <fill>
      <gradientFill degree="135">
        <stop position="0">
          <color theme="0"/>
        </stop>
        <stop position="1">
          <color theme="4"/>
        </stop>
      </gradientFill>
    </fill>
    <fill>
      <patternFill patternType="solid">
        <fgColor theme="0"/>
        <bgColor theme="0"/>
      </patternFill>
    </fill>
    <fill>
      <patternFill patternType="solid">
        <fgColor indexed="65"/>
        <bgColor theme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98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 vertical="center" wrapText="1"/>
    </xf>
    <xf numFmtId="3" fontId="3" fillId="0" borderId="0" xfId="0" applyNumberFormat="1" applyFont="1" applyBorder="1" applyAlignment="1">
      <alignment horizontal="center" vertical="center" readingOrder="2"/>
    </xf>
    <xf numFmtId="164" fontId="2" fillId="0" borderId="0" xfId="0" applyNumberFormat="1" applyFont="1" applyBorder="1" applyAlignment="1">
      <alignment horizontal="center" vertical="center" readingOrder="2"/>
    </xf>
    <xf numFmtId="164" fontId="2" fillId="0" borderId="0" xfId="0" applyNumberFormat="1" applyFont="1" applyAlignment="1">
      <alignment horizontal="center" vertical="center" readingOrder="2"/>
    </xf>
    <xf numFmtId="0" fontId="2" fillId="0" borderId="0" xfId="0" applyFont="1" applyAlignment="1">
      <alignment vertical="center"/>
    </xf>
    <xf numFmtId="3" fontId="2" fillId="0" borderId="0" xfId="0" applyNumberFormat="1" applyFont="1" applyAlignment="1">
      <alignment horizontal="center" vertical="center"/>
    </xf>
    <xf numFmtId="0" fontId="2" fillId="0" borderId="0" xfId="0" applyFont="1"/>
    <xf numFmtId="0" fontId="2" fillId="0" borderId="0" xfId="0" applyNumberFormat="1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3" fontId="1" fillId="0" borderId="1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4" fillId="6" borderId="7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3" fontId="2" fillId="0" borderId="0" xfId="0" applyNumberFormat="1" applyFont="1"/>
    <xf numFmtId="0" fontId="4" fillId="6" borderId="5" xfId="0" applyFont="1" applyFill="1" applyBorder="1" applyAlignment="1">
      <alignment horizontal="center" vertical="center" wrapText="1"/>
    </xf>
    <xf numFmtId="0" fontId="4" fillId="6" borderId="6" xfId="0" applyFont="1" applyFill="1" applyBorder="1" applyAlignment="1">
      <alignment horizontal="center" vertical="center" wrapText="1"/>
    </xf>
    <xf numFmtId="0" fontId="2" fillId="7" borderId="20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center" vertical="center" wrapText="1"/>
    </xf>
    <xf numFmtId="0" fontId="2" fillId="7" borderId="16" xfId="0" applyFont="1" applyFill="1" applyBorder="1" applyAlignment="1">
      <alignment horizontal="center" vertical="center"/>
    </xf>
    <xf numFmtId="3" fontId="2" fillId="8" borderId="1" xfId="0" applyNumberFormat="1" applyFont="1" applyFill="1" applyBorder="1" applyAlignment="1">
      <alignment horizontal="center" vertical="center"/>
    </xf>
    <xf numFmtId="3" fontId="2" fillId="7" borderId="1" xfId="0" applyNumberFormat="1" applyFont="1" applyFill="1" applyBorder="1" applyAlignment="1">
      <alignment horizontal="center" vertical="center" wrapText="1"/>
    </xf>
    <xf numFmtId="0" fontId="2" fillId="7" borderId="18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/>
    </xf>
    <xf numFmtId="3" fontId="2" fillId="7" borderId="12" xfId="0" applyNumberFormat="1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 wrapText="1"/>
    </xf>
    <xf numFmtId="0" fontId="6" fillId="6" borderId="10" xfId="0" applyFont="1" applyFill="1" applyBorder="1" applyAlignment="1">
      <alignment horizontal="center" vertical="center" wrapText="1"/>
    </xf>
    <xf numFmtId="0" fontId="6" fillId="6" borderId="10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3" fontId="6" fillId="6" borderId="0" xfId="0" applyNumberFormat="1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64" fontId="2" fillId="0" borderId="1" xfId="0" applyNumberFormat="1" applyFont="1" applyBorder="1" applyAlignment="1">
      <alignment horizontal="center" vertical="center" readingOrder="2"/>
    </xf>
    <xf numFmtId="3" fontId="2" fillId="0" borderId="1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2" fillId="5" borderId="1" xfId="0" applyFont="1" applyFill="1" applyBorder="1" applyAlignment="1">
      <alignment horizontal="center" vertical="center" wrapText="1"/>
    </xf>
    <xf numFmtId="165" fontId="2" fillId="0" borderId="0" xfId="0" applyNumberFormat="1" applyFont="1" applyAlignment="1">
      <alignment horizontal="center" vertical="center"/>
    </xf>
    <xf numFmtId="3" fontId="2" fillId="0" borderId="0" xfId="0" applyNumberFormat="1" applyFont="1" applyAlignment="1"/>
    <xf numFmtId="0" fontId="2" fillId="0" borderId="0" xfId="0" applyFont="1" applyAlignment="1"/>
    <xf numFmtId="0" fontId="2" fillId="0" borderId="0" xfId="0" applyFont="1" applyFill="1" applyBorder="1" applyAlignment="1"/>
    <xf numFmtId="3" fontId="2" fillId="0" borderId="0" xfId="0" applyNumberFormat="1" applyFont="1" applyAlignment="1">
      <alignment horizontal="center" vertical="center"/>
    </xf>
    <xf numFmtId="3" fontId="5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8" borderId="14" xfId="0" applyFont="1" applyFill="1" applyBorder="1" applyAlignment="1">
      <alignment horizontal="center" vertical="center" wrapText="1"/>
    </xf>
    <xf numFmtId="0" fontId="2" fillId="9" borderId="14" xfId="0" applyFont="1" applyFill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7" borderId="14" xfId="0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2" fillId="7" borderId="21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2" fillId="11" borderId="22" xfId="0" applyFont="1" applyFill="1" applyBorder="1" applyAlignment="1">
      <alignment horizontal="center" vertical="center"/>
    </xf>
    <xf numFmtId="1" fontId="2" fillId="0" borderId="22" xfId="0" applyNumberFormat="1" applyFont="1" applyBorder="1" applyAlignment="1">
      <alignment horizontal="center" vertical="center"/>
    </xf>
    <xf numFmtId="1" fontId="2" fillId="0" borderId="23" xfId="0" applyNumberFormat="1" applyFont="1" applyBorder="1" applyAlignment="1">
      <alignment horizontal="center" vertical="center"/>
    </xf>
    <xf numFmtId="3" fontId="2" fillId="9" borderId="12" xfId="0" applyNumberFormat="1" applyFont="1" applyFill="1" applyBorder="1" applyAlignment="1">
      <alignment horizontal="center" vertical="center"/>
    </xf>
    <xf numFmtId="14" fontId="2" fillId="9" borderId="1" xfId="0" applyNumberFormat="1" applyFont="1" applyFill="1" applyBorder="1" applyAlignment="1">
      <alignment horizontal="center" vertical="center"/>
    </xf>
    <xf numFmtId="22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7" fillId="3" borderId="1" xfId="0" applyFont="1" applyFill="1" applyBorder="1" applyAlignment="1">
      <alignment horizontal="center" vertical="center" wrapText="1"/>
    </xf>
    <xf numFmtId="164" fontId="2" fillId="4" borderId="2" xfId="0" applyNumberFormat="1" applyFont="1" applyFill="1" applyBorder="1" applyAlignment="1">
      <alignment horizontal="center" vertical="center"/>
    </xf>
    <xf numFmtId="164" fontId="2" fillId="4" borderId="3" xfId="0" applyNumberFormat="1" applyFont="1" applyFill="1" applyBorder="1" applyAlignment="1">
      <alignment horizontal="center" vertical="center"/>
    </xf>
    <xf numFmtId="164" fontId="2" fillId="4" borderId="4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10" fillId="11" borderId="0" xfId="0" applyFont="1" applyFill="1" applyAlignment="1">
      <alignment horizontal="center" vertical="center"/>
    </xf>
  </cellXfs>
  <cellStyles count="1">
    <cellStyle name="Normal" xfId="0" builtinId="0"/>
  </cellStyles>
  <dxfs count="68"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1" indent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1" indent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1" indent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1" indent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numFmt numFmtId="3" formatCode="#,##0"/>
      <alignment horizontal="center" vertical="center" textRotation="0" wrapText="1" indent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1" indent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1" indent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1" indent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1" indent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1" indent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1" indent="0" shrinkToFit="0" readingOrder="0"/>
    </dxf>
    <dxf>
      <border outline="0">
        <right style="thin">
          <color auto="1"/>
        </right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fill>
        <gradientFill degree="135">
          <stop position="0">
            <color theme="0"/>
          </stop>
          <stop position="1">
            <color theme="4"/>
          </stop>
        </gradient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B Nazanin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B Nazanin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color theme="1"/>
        <name val="B Nazani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 Nazani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shrinkToFit="0" readingOrder="0"/>
    </dxf>
    <dxf>
      <font>
        <strike val="0"/>
        <outline val="0"/>
        <shadow val="0"/>
        <u val="none"/>
        <vertAlign val="baseline"/>
        <color theme="1"/>
        <name val="B Nazanin"/>
        <scheme val="none"/>
      </font>
      <numFmt numFmtId="3" formatCode="#,##0"/>
      <alignment horizontal="center" vertical="center" textRotation="0" indent="0" shrinkToFit="0"/>
    </dxf>
    <dxf>
      <alignment horizontal="center" vertical="center" textRotation="0" wrapText="0" indent="0" shrinkToFit="0" readingOrder="0"/>
    </dxf>
    <dxf>
      <font>
        <strike val="0"/>
        <outline val="0"/>
        <shadow val="0"/>
        <u val="none"/>
        <vertAlign val="baseline"/>
        <color theme="1"/>
        <name val="B Nazanin"/>
        <scheme val="none"/>
      </font>
      <alignment horizontal="center" vertical="center" textRotation="0" indent="0" shrinkToFit="0"/>
    </dxf>
    <dxf>
      <font>
        <b val="0"/>
        <i val="0"/>
        <strike val="0"/>
        <u val="none"/>
        <sz val="11"/>
        <color theme="1"/>
        <name val="Tahoma"/>
      </font>
      <alignment horizontal="center" vertical="center" textRotation="0" wrapText="1" indent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1" indent="0" shrinkToFit="0" readingOrder="0"/>
    </dxf>
    <dxf>
      <font>
        <b val="0"/>
        <i val="0"/>
        <strike val="0"/>
        <u val="none"/>
        <sz val="11"/>
        <color theme="1"/>
        <name val="Tahoma"/>
      </font>
      <alignment horizontal="center" vertical="center" textRotation="0" wrapText="1" indent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1" indent="0" shrinkToFit="0" readingOrder="0"/>
    </dxf>
    <dxf>
      <font>
        <b val="0"/>
        <i val="0"/>
        <strike val="0"/>
        <u val="none"/>
        <sz val="11"/>
        <color theme="1"/>
        <name val="Tahoma"/>
      </font>
      <numFmt numFmtId="3" formatCode="#,##0"/>
      <alignment horizontal="center" vertical="center" textRotation="0" wrapText="1" indent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numFmt numFmtId="3" formatCode="#,##0"/>
      <alignment horizontal="center" vertical="center" textRotation="0" wrapText="1" indent="0" shrinkToFit="0" readingOrder="0"/>
    </dxf>
    <dxf>
      <numFmt numFmtId="3" formatCode="#,##0"/>
      <alignment horizontal="center" vertical="center" textRotation="0" wrapText="0" indent="0" shrinkToFit="0" readingOrder="0"/>
    </dxf>
    <dxf>
      <font>
        <strike val="0"/>
        <outline val="0"/>
        <shadow val="0"/>
        <u val="none"/>
        <vertAlign val="baseline"/>
        <color theme="1"/>
        <name val="B Nazanin"/>
        <scheme val="none"/>
      </font>
      <numFmt numFmtId="3" formatCode="#,##0"/>
      <alignment horizontal="center" vertical="center" textRotation="0" indent="0" shrinkToFit="0"/>
    </dxf>
    <dxf>
      <numFmt numFmtId="3" formatCode="#,##0"/>
      <alignment horizontal="center" vertical="center" textRotation="0" wrapText="0" indent="0" shrinkToFit="0" readingOrder="0"/>
    </dxf>
    <dxf>
      <font>
        <strike val="0"/>
        <outline val="0"/>
        <shadow val="0"/>
        <u val="none"/>
        <vertAlign val="baseline"/>
        <color theme="1"/>
        <name val="B Nazanin"/>
        <scheme val="none"/>
      </font>
      <numFmt numFmtId="3" formatCode="#,##0"/>
      <alignment horizontal="center" vertical="center" textRotation="0" indent="0" shrinkToFit="0"/>
    </dxf>
    <dxf>
      <font>
        <b val="0"/>
        <i val="0"/>
        <strike val="0"/>
        <u val="none"/>
        <sz val="11"/>
        <color theme="1"/>
        <name val="Tahoma"/>
      </font>
      <numFmt numFmtId="164" formatCode="[$-960429]dd/mm/yyyy;@"/>
      <alignment horizontal="center" vertical="center" textRotation="0" wrapText="0" indent="0" shrinkToFit="0" readingOrder="2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numFmt numFmtId="164" formatCode="[$-960429]dd/mm/yyyy;@"/>
      <alignment horizontal="center" vertical="center" textRotation="0" wrapText="0" indent="0" shrinkToFit="0" readingOrder="2"/>
    </dxf>
    <dxf>
      <font>
        <b val="0"/>
        <i val="0"/>
        <strike val="0"/>
        <u val="none"/>
        <sz val="11"/>
        <color theme="1"/>
        <name val="Tahoma"/>
      </font>
      <alignment horizontal="center" vertical="center" textRotation="0" wrapText="1" indent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u val="none"/>
        <sz val="11"/>
        <color theme="1"/>
        <name val="Tahoma"/>
      </font>
      <alignment horizontal="center" vertical="center" textRotation="0" wrapText="1" indent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1" indent="0" shrinkToFit="0" readingOrder="0"/>
    </dxf>
    <dxf>
      <font>
        <b val="0"/>
        <i val="0"/>
        <strike val="0"/>
        <u val="none"/>
        <sz val="11"/>
        <color theme="1"/>
        <name val="Tahoma"/>
      </font>
      <alignment horizontal="center" vertical="center" textRotation="0" wrapText="1" indent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1" indent="0" shrinkToFit="0" readingOrder="0"/>
    </dxf>
    <dxf>
      <font>
        <strike val="0"/>
        <outline val="0"/>
        <shadow val="0"/>
        <u val="none"/>
        <vertAlign val="baseline"/>
        <color theme="1"/>
        <name val="B Nazanin"/>
        <scheme val="none"/>
      </font>
      <alignment horizontal="center" vertical="center" textRotation="0" indent="0" shrinkToFit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B Nazanin"/>
        <scheme val="none"/>
      </font>
      <alignment horizontal="center" vertical="center" textRotation="0" indent="0" shrinkToFit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160020</xdr:colOff>
      <xdr:row>0</xdr:row>
      <xdr:rowOff>0</xdr:rowOff>
    </xdr:from>
    <xdr:to>
      <xdr:col>9</xdr:col>
      <xdr:colOff>144780</xdr:colOff>
      <xdr:row>0</xdr:row>
      <xdr:rowOff>647700</xdr:rowOff>
    </xdr:to>
    <xdr:sp macro="[0]!depositmonthly" textlink="">
      <xdr:nvSpPr>
        <xdr:cNvPr id="2" name="Rectangle 1">
          <a:extLst>
            <a:ext uri="{FF2B5EF4-FFF2-40B4-BE49-F238E27FC236}">
              <a16:creationId xmlns:a16="http://schemas.microsoft.com/office/drawing/2014/main" id="{9123B6D7-2994-4AAE-9FF2-65A325FC4149}"/>
            </a:ext>
          </a:extLst>
        </xdr:cNvPr>
        <xdr:cNvSpPr/>
      </xdr:nvSpPr>
      <xdr:spPr>
        <a:xfrm>
          <a:off x="10855924440" y="0"/>
          <a:ext cx="3954780" cy="647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bg1"/>
        </a:fontRef>
      </xdr:style>
      <xdr:txBody>
        <a:bodyPr vertOverflow="clip" horzOverflow="clip" rtlCol="1" anchor="ctr"/>
        <a:lstStyle/>
        <a:p>
          <a:pPr algn="ctr" rtl="1"/>
          <a:r>
            <a:rPr lang="fa-IR" sz="1100" b="1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اقساط</a:t>
          </a:r>
          <a:r>
            <a:rPr lang="fa-IR" sz="1100" b="1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ماهانه ثابت</a:t>
          </a:r>
          <a:endParaRPr lang="fa-IR" sz="11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510540</xdr:colOff>
      <xdr:row>3</xdr:row>
      <xdr:rowOff>22860</xdr:rowOff>
    </xdr:from>
    <xdr:to>
      <xdr:col>16</xdr:col>
      <xdr:colOff>388620</xdr:colOff>
      <xdr:row>5</xdr:row>
      <xdr:rowOff>114300</xdr:rowOff>
    </xdr:to>
    <xdr:sp macro="[0]!loanbook" textlink="">
      <xdr:nvSpPr>
        <xdr:cNvPr id="3" name="Rectangle 2">
          <a:extLst>
            <a:ext uri="{FF2B5EF4-FFF2-40B4-BE49-F238E27FC236}">
              <a16:creationId xmlns:a16="http://schemas.microsoft.com/office/drawing/2014/main" id="{9123B6D7-2994-4AAE-9FF2-65A325FC4149}"/>
            </a:ext>
          </a:extLst>
        </xdr:cNvPr>
        <xdr:cNvSpPr/>
      </xdr:nvSpPr>
      <xdr:spPr>
        <a:xfrm>
          <a:off x="10976343300" y="1219200"/>
          <a:ext cx="2103120" cy="4419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bg1"/>
        </a:fontRef>
      </xdr:style>
      <xdr:txBody>
        <a:bodyPr vertOverflow="clip" horzOverflow="clip" rtlCol="1" anchor="ctr"/>
        <a:lstStyle/>
        <a:p>
          <a:pPr algn="ctr" rtl="1"/>
          <a:r>
            <a:rPr lang="fa-IR" sz="1100" b="1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دفترچه</a:t>
          </a:r>
          <a:r>
            <a:rPr lang="fa-IR" sz="1100" b="1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اقساط وام</a:t>
          </a:r>
          <a:endParaRPr lang="fa-IR" sz="11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868680</xdr:colOff>
      <xdr:row>3</xdr:row>
      <xdr:rowOff>38100</xdr:rowOff>
    </xdr:from>
    <xdr:to>
      <xdr:col>12</xdr:col>
      <xdr:colOff>342900</xdr:colOff>
      <xdr:row>5</xdr:row>
      <xdr:rowOff>60960</xdr:rowOff>
    </xdr:to>
    <xdr:sp macro="[0]!transformdaft" textlink="">
      <xdr:nvSpPr>
        <xdr:cNvPr id="5" name="Rectangle 4"/>
        <xdr:cNvSpPr/>
      </xdr:nvSpPr>
      <xdr:spPr>
        <a:xfrm>
          <a:off x="10978606440" y="1173480"/>
          <a:ext cx="1485900" cy="44958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fa-IR" sz="1100"/>
            <a:t>انتقال و پاک کردن جدول پایین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K15" totalsRowShown="0" headerRowDxfId="66" dataDxfId="64" headerRowBorderDxfId="65">
  <autoFilter ref="A1:K15"/>
  <tableColumns count="11">
    <tableColumn id="9" name="ردیف" dataDxfId="63" totalsRowDxfId="62">
      <calculatedColumnFormula>ROW()-1</calculatedColumnFormula>
    </tableColumn>
    <tableColumn id="1" name="نام صاحب حساب" dataDxfId="61" totalsRowDxfId="60"/>
    <tableColumn id="11" name="کد شناسایی" dataDxfId="59" totalsRowDxfId="58"/>
    <tableColumn id="2" name="تاریخ افتتاح حساب" dataDxfId="57" totalsRowDxfId="56"/>
    <tableColumn id="3" name="مجموع پس انداز ماهانه ثابت" dataDxfId="55" totalsRowDxfId="54"/>
    <tableColumn id="4" name="مانده اقساط پس انداز ماهانه ثابت" dataDxfId="53" totalsRowDxfId="52">
      <calculatedColumnFormula>'detail cash'!J5*MAX(A:A)-Table1[[#This Row],[مجموع پس انداز ماهانه ثابت]]</calculatedColumnFormula>
    </tableColumn>
    <tableColumn id="10" name="وضعیت پس انداز ماهانه ثابت" dataDxfId="51" totalsRowDxfId="50">
      <calculatedColumnFormula>'detail cash'!J5*MAX(A:A)</calculatedColumnFormula>
    </tableColumn>
    <tableColumn id="5" name="سرمایه گذاری در صندوق" dataDxfId="49" totalsRowDxfId="48"/>
    <tableColumn id="6" name="سود کسب کرده  ناشی از پس انداز ماهانه ثابت" dataDxfId="47" totalsRowDxfId="46"/>
    <tableColumn id="7" name="سود کسب کرده ناشی از سرمایه گذاری" dataDxfId="45" totalsRowDxfId="44"/>
    <tableColumn id="8" name="مجموع سرمایه فرد در صندوق" dataDxfId="43" totalsRowDxfId="42">
      <calculatedColumnFormula>Table1[[#This Row],[سود کسب کرده ناشی از سرمایه گذاری]]+Table1[[#This Row],[سود کسب کرده  ناشی از پس انداز ماهانه ثابت]]+Table1[[#This Row],[سرمایه گذاری در صندوق]]+Table1[[#This Row],[مجموع پس انداز ماهانه ثابت]]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P1:Q4" totalsRowShown="0" headerRowDxfId="41" dataDxfId="40">
  <autoFilter ref="P1:Q4"/>
  <tableColumns count="2">
    <tableColumn id="1" name="واريز" dataDxfId="39"/>
    <tableColumn id="2" name="برداشت" dataDxfId="3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I234" totalsRowShown="0" headerRowDxfId="37" dataDxfId="36" tableBorderDxfId="35">
  <autoFilter ref="A7:I234"/>
  <tableColumns count="9">
    <tableColumn id="1" name="نام صاحب حساب" dataDxfId="34"/>
    <tableColumn id="2" name="کد شناسایی" dataDxfId="33"/>
    <tableColumn id="3" name="تاریخ" dataDxfId="32"/>
    <tableColumn id="4" name="مبلغ" dataDxfId="31"/>
    <tableColumn id="5" name="شماره پیگیری تراکنش" dataDxfId="30"/>
    <tableColumn id="6" name="شماره وام" dataDxfId="29"/>
    <tableColumn id="7" name="درصد کارمزد وام" dataDxfId="28"/>
    <tableColumn id="8" name="ضامن ها" dataDxfId="27"/>
    <tableColumn id="9" name="وضعیت وام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le6" displayName="Table6" ref="K7:T18" totalsRowShown="0" headerRowDxfId="25" dataDxfId="24" dataCellStyle="Normal">
  <autoFilter ref="K7:T18"/>
  <tableColumns count="10">
    <tableColumn id="1" name="نام صاحب حساب" dataDxfId="23" dataCellStyle="Normal"/>
    <tableColumn id="2" name="کد شناسایی" dataDxfId="22" dataCellStyle="Normal"/>
    <tableColumn id="3" name="تاریخ" dataDxfId="21" dataCellStyle="Normal"/>
    <tableColumn id="4" name="رویداد" dataDxfId="20" dataCellStyle="Normal"/>
    <tableColumn id="11" name="نوع" dataDxfId="19" dataCellStyle="Normal"/>
    <tableColumn id="6" name="مبلغ" dataDxfId="18" dataCellStyle="Normal"/>
    <tableColumn id="7" name="شماره پیگیری تراکنش" dataDxfId="17" dataCellStyle="Normal"/>
    <tableColumn id="8" name="تعداد وام فعال" dataDxfId="16" dataCellStyle="Normal"/>
    <tableColumn id="9" name="شماره وام" dataDxfId="15" dataCellStyle="Normal"/>
    <tableColumn id="10" name="وضعیت" dataDxfId="14" dataCellStyle="Norma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le7" displayName="Table7" ref="B1:U3" totalsRowShown="0" headerRowDxfId="13" tableBorderDxfId="12">
  <autoFilter ref="B1:U3"/>
  <tableColumns count="20">
    <tableColumn id="2" name="ضامن 1">
      <calculatedColumnFormula>INDEX(Table1[[کد شناسایی]:[کد شناسایی]],MATCH(B1,Table1[[نام صاحب حساب]:[نام صاحب حساب]],0))</calculatedColumnFormula>
    </tableColumn>
    <tableColumn id="3" name="ضامن 2">
      <calculatedColumnFormula>INDEX(Table1[[کد شناسایی]:[کد شناسایی]],MATCH(C1,Table1[[نام صاحب حساب]:[نام صاحب حساب]],0))</calculatedColumnFormula>
    </tableColumn>
    <tableColumn id="4" name="ضامن 3">
      <calculatedColumnFormula>INDEX(Table1[[کد شناسایی]:[کد شناسایی]],MATCH(D1,Table1[[نام صاحب حساب]:[نام صاحب حساب]],0))</calculatedColumnFormula>
    </tableColumn>
    <tableColumn id="5" name="ضامن 4">
      <calculatedColumnFormula>INDEX(Table1[[کد شناسایی]:[کد شناسایی]],MATCH(E1,Table1[[نام صاحب حساب]:[نام صاحب حساب]],0))</calculatedColumnFormula>
    </tableColumn>
    <tableColumn id="6" name="ضامن 5">
      <calculatedColumnFormula>INDEX(Table1[[کد شناسایی]:[کد شناسایی]],MATCH(F1,Table1[[نام صاحب حساب]:[نام صاحب حساب]],0))</calculatedColumnFormula>
    </tableColumn>
    <tableColumn id="7" name="ضامن 6">
      <calculatedColumnFormula>INDEX(Table1[[کد شناسایی]:[کد شناسایی]],MATCH(G1,Table1[[نام صاحب حساب]:[نام صاحب حساب]],0))</calculatedColumnFormula>
    </tableColumn>
    <tableColumn id="8" name="ضامن 7">
      <calculatedColumnFormula>INDEX(Table1[[کد شناسایی]:[کد شناسایی]],MATCH(H1,Table1[[نام صاحب حساب]:[نام صاحب حساب]],0))</calculatedColumnFormula>
    </tableColumn>
    <tableColumn id="9" name="ضامن 8">
      <calculatedColumnFormula>INDEX(Table1[[کد شناسایی]:[کد شناسایی]],MATCH(I1,Table1[[نام صاحب حساب]:[نام صاحب حساب]],0))</calculatedColumnFormula>
    </tableColumn>
    <tableColumn id="10" name="ضامن 9">
      <calculatedColumnFormula>INDEX(Table1[[کد شناسایی]:[کد شناسایی]],MATCH(J1,Table1[[نام صاحب حساب]:[نام صاحب حساب]],0))</calculatedColumnFormula>
    </tableColumn>
    <tableColumn id="11" name="ضامن 10">
      <calculatedColumnFormula>INDEX(Table1[[کد شناسایی]:[کد شناسایی]],MATCH(K1,Table1[[نام صاحب حساب]:[نام صاحب حساب]],0))</calculatedColumnFormula>
    </tableColumn>
    <tableColumn id="12" name="ضامن 11">
      <calculatedColumnFormula>INDEX(Table1[[کد شناسایی]:[کد شناسایی]],MATCH(L1,Table1[[نام صاحب حساب]:[نام صاحب حساب]],0))</calculatedColumnFormula>
    </tableColumn>
    <tableColumn id="13" name="ضامن 12">
      <calculatedColumnFormula>INDEX(Table1[[کد شناسایی]:[کد شناسایی]],MATCH(M1,Table1[[نام صاحب حساب]:[نام صاحب حساب]],0))</calculatedColumnFormula>
    </tableColumn>
    <tableColumn id="14" name="ضامن 13">
      <calculatedColumnFormula>INDEX(Table1[[کد شناسایی]:[کد شناسایی]],MATCH(N1,Table1[[نام صاحب حساب]:[نام صاحب حساب]],0))</calculatedColumnFormula>
    </tableColumn>
    <tableColumn id="15" name="ضامن 14">
      <calculatedColumnFormula>INDEX(Table1[[کد شناسایی]:[کد شناسایی]],MATCH(O1,Table1[[نام صاحب حساب]:[نام صاحب حساب]],0))</calculatedColumnFormula>
    </tableColumn>
    <tableColumn id="16" name="ضامن 15">
      <calculatedColumnFormula>INDEX(Table1[[کد شناسایی]:[کد شناسایی]],MATCH(P1,Table1[[نام صاحب حساب]:[نام صاحب حساب]],0))</calculatedColumnFormula>
    </tableColumn>
    <tableColumn id="17" name="ضامن 16">
      <calculatedColumnFormula>INDEX(Table1[[کد شناسایی]:[کد شناسایی]],MATCH(Q1,Table1[[نام صاحب حساب]:[نام صاحب حساب]],0))</calculatedColumnFormula>
    </tableColumn>
    <tableColumn id="18" name="ضامن 17">
      <calculatedColumnFormula>INDEX(Table1[[کد شناسایی]:[کد شناسایی]],MATCH(R1,Table1[[نام صاحب حساب]:[نام صاحب حساب]],0))</calculatedColumnFormula>
    </tableColumn>
    <tableColumn id="19" name="ضامن 18">
      <calculatedColumnFormula>INDEX(Table1[[کد شناسایی]:[کد شناسایی]],MATCH(S1,Table1[[نام صاحب حساب]:[نام صاحب حساب]],0))</calculatedColumnFormula>
    </tableColumn>
    <tableColumn id="20" name="ضامن 19">
      <calculatedColumnFormula>INDEX(Table1[[کد شناسایی]:[کد شناسایی]],MATCH(T1,Table1[[نام صاحب حساب]:[نام صاحب حساب]],0))</calculatedColumnFormula>
    </tableColumn>
    <tableColumn id="21" name="ضامن 20">
      <calculatedColumnFormula>INDEX(Table1[[کد شناسایی]:[کد شناسایی]],MATCH(U1,Table1[[نام صاحب حساب]:[نام صاحب حساب]],0))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Table2" displayName="Table2" ref="B1:K1048321" totalsRowShown="0" headerRowDxfId="11" dataDxfId="10">
  <autoFilter ref="B1:K1048321"/>
  <tableColumns count="10">
    <tableColumn id="1" name="نام صاحب حساب" dataDxfId="9"/>
    <tableColumn id="10" name="کد شناسایی" dataDxfId="8"/>
    <tableColumn id="2" name="تاریخ" dataDxfId="7"/>
    <tableColumn id="3" name="رویداد" dataDxfId="6"/>
    <tableColumn id="4" name="نوع " dataDxfId="5"/>
    <tableColumn id="5" name="مبلغ" dataDxfId="4"/>
    <tableColumn id="6" name="شماره پیگیری تراکنش" dataDxfId="3"/>
    <tableColumn id="7" name="تعداد وام فعال" dataDxfId="2"/>
    <tableColumn id="9" name="شماره وام" dataDxfId="1"/>
    <tableColumn id="8" name="وضعیت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1:P49"/>
  <sheetViews>
    <sheetView rightToLeft="1" tabSelected="1" topLeftCell="I1" workbookViewId="0">
      <selection activeCell="J13" sqref="J13"/>
    </sheetView>
  </sheetViews>
  <sheetFormatPr defaultColWidth="8.69921875" defaultRowHeight="16.8"/>
  <cols>
    <col min="1" max="2" width="8.69921875" style="2"/>
    <col min="3" max="3" width="10.19921875" style="2" customWidth="1"/>
    <col min="4" max="4" width="11.69921875" style="2" customWidth="1"/>
    <col min="5" max="5" width="16.69921875" style="2" customWidth="1"/>
    <col min="6" max="6" width="10.19921875" style="2" customWidth="1"/>
    <col min="7" max="8" width="8.69921875" style="2"/>
    <col min="9" max="9" width="16.19921875" style="2" customWidth="1"/>
    <col min="10" max="10" width="10.69921875" style="2" customWidth="1"/>
    <col min="11" max="12" width="9.8984375" style="2" customWidth="1"/>
    <col min="13" max="16384" width="8.69921875" style="2"/>
  </cols>
  <sheetData>
    <row r="1" spans="4:16" ht="52.2" customHeight="1">
      <c r="D1" s="38" t="s">
        <v>1</v>
      </c>
      <c r="E1" s="76" t="s">
        <v>71</v>
      </c>
      <c r="F1" s="39"/>
      <c r="I1" s="89" t="s">
        <v>13</v>
      </c>
      <c r="J1" s="89"/>
      <c r="K1" s="89"/>
    </row>
    <row r="2" spans="4:16">
      <c r="D2" s="40">
        <v>45130</v>
      </c>
      <c r="E2" s="41">
        <v>200000</v>
      </c>
      <c r="F2" s="39"/>
      <c r="I2" s="90"/>
      <c r="J2" s="91"/>
      <c r="K2" s="92"/>
    </row>
    <row r="3" spans="4:16">
      <c r="D3" s="40">
        <v>45161</v>
      </c>
      <c r="E3" s="41">
        <v>3</v>
      </c>
      <c r="F3" s="39"/>
      <c r="I3" s="42"/>
      <c r="J3" s="42"/>
      <c r="K3" s="42"/>
    </row>
    <row r="4" spans="4:16" ht="55.2" customHeight="1">
      <c r="D4" s="40">
        <v>45192</v>
      </c>
      <c r="E4" s="41"/>
      <c r="F4" s="39"/>
      <c r="I4" s="14" t="s">
        <v>15</v>
      </c>
      <c r="J4" s="14"/>
      <c r="K4" s="14"/>
      <c r="L4" s="14"/>
    </row>
    <row r="5" spans="4:16">
      <c r="D5" s="40">
        <v>45222</v>
      </c>
      <c r="E5" s="41"/>
      <c r="F5" s="39"/>
      <c r="I5" s="14">
        <f>SUBTOTAL(109,person!E:E)</f>
        <v>0</v>
      </c>
      <c r="J5" s="3"/>
      <c r="K5" s="43"/>
    </row>
    <row r="6" spans="4:16">
      <c r="D6" s="40">
        <v>45252</v>
      </c>
      <c r="E6" s="41"/>
      <c r="F6" s="39"/>
    </row>
    <row r="7" spans="4:16" ht="67.2">
      <c r="D7" s="40">
        <v>45282</v>
      </c>
      <c r="E7" s="41"/>
      <c r="F7" s="39"/>
      <c r="J7" s="44" t="s">
        <v>28</v>
      </c>
      <c r="K7" s="44" t="s">
        <v>31</v>
      </c>
      <c r="L7" s="44" t="s">
        <v>29</v>
      </c>
      <c r="M7" s="44" t="s">
        <v>30</v>
      </c>
      <c r="N7" s="44" t="s">
        <v>68</v>
      </c>
      <c r="O7" s="44" t="s">
        <v>70</v>
      </c>
    </row>
    <row r="8" spans="4:16">
      <c r="D8" s="40">
        <v>45312</v>
      </c>
      <c r="E8" s="41"/>
      <c r="F8" s="39"/>
      <c r="J8" s="87">
        <v>200003</v>
      </c>
      <c r="K8" s="87">
        <v>2600039</v>
      </c>
      <c r="L8" s="87">
        <v>750000</v>
      </c>
      <c r="M8" s="87">
        <v>-70000000</v>
      </c>
      <c r="N8" s="75">
        <v>70000000</v>
      </c>
      <c r="O8" s="75">
        <v>70000000</v>
      </c>
      <c r="P8" s="39"/>
    </row>
    <row r="9" spans="4:16">
      <c r="D9" s="40">
        <v>45342</v>
      </c>
      <c r="E9" s="41"/>
      <c r="F9" s="39"/>
    </row>
    <row r="10" spans="4:16">
      <c r="D10" s="40">
        <v>45371</v>
      </c>
      <c r="E10" s="41"/>
      <c r="F10" s="39"/>
      <c r="I10" s="42"/>
      <c r="L10" s="45"/>
      <c r="M10" s="42"/>
    </row>
    <row r="11" spans="4:16">
      <c r="D11" s="40">
        <v>45402</v>
      </c>
      <c r="E11" s="41"/>
      <c r="F11" s="39"/>
    </row>
    <row r="12" spans="4:16">
      <c r="D12" s="40">
        <v>45433</v>
      </c>
      <c r="E12" s="41"/>
      <c r="F12" s="39"/>
    </row>
    <row r="13" spans="4:16">
      <c r="D13" s="40">
        <v>45464</v>
      </c>
      <c r="E13" s="41"/>
      <c r="F13" s="39"/>
    </row>
    <row r="14" spans="4:16">
      <c r="D14" s="40">
        <v>45495</v>
      </c>
      <c r="E14" s="41"/>
      <c r="F14" s="39"/>
    </row>
    <row r="15" spans="4:16">
      <c r="D15" s="40">
        <v>45526</v>
      </c>
      <c r="E15" s="41"/>
      <c r="F15" s="39"/>
    </row>
    <row r="16" spans="4:16">
      <c r="D16" s="40">
        <v>45557</v>
      </c>
      <c r="E16" s="41"/>
      <c r="F16" s="39"/>
    </row>
    <row r="17" spans="4:6">
      <c r="D17" s="40">
        <v>45587</v>
      </c>
      <c r="E17" s="41"/>
      <c r="F17" s="39"/>
    </row>
    <row r="18" spans="4:6">
      <c r="D18" s="40">
        <v>45617</v>
      </c>
      <c r="E18" s="41"/>
      <c r="F18" s="39"/>
    </row>
    <row r="19" spans="4:6">
      <c r="D19" s="40">
        <v>45647</v>
      </c>
      <c r="E19" s="41"/>
      <c r="F19" s="39"/>
    </row>
    <row r="20" spans="4:6">
      <c r="D20" s="40">
        <v>45677</v>
      </c>
      <c r="E20" s="41"/>
      <c r="F20" s="39"/>
    </row>
    <row r="21" spans="4:6">
      <c r="D21" s="40">
        <v>45707</v>
      </c>
      <c r="E21" s="41"/>
      <c r="F21" s="39"/>
    </row>
    <row r="22" spans="4:6">
      <c r="D22" s="39"/>
      <c r="E22" s="46"/>
      <c r="F22" s="47"/>
    </row>
    <row r="23" spans="4:6">
      <c r="D23" s="39"/>
      <c r="E23" s="47"/>
      <c r="F23" s="47"/>
    </row>
    <row r="24" spans="4:6">
      <c r="D24" s="39"/>
      <c r="E24" s="47"/>
      <c r="F24" s="47"/>
    </row>
    <row r="25" spans="4:6">
      <c r="D25" s="39"/>
      <c r="E25" s="47"/>
      <c r="F25" s="47"/>
    </row>
    <row r="26" spans="4:6">
      <c r="D26" s="39"/>
      <c r="E26" s="48"/>
      <c r="F26" s="47"/>
    </row>
    <row r="27" spans="4:6">
      <c r="D27" s="39"/>
      <c r="E27" s="48"/>
      <c r="F27" s="47"/>
    </row>
    <row r="28" spans="4:6">
      <c r="D28" s="39"/>
      <c r="E28" s="48"/>
      <c r="F28" s="47"/>
    </row>
    <row r="29" spans="4:6">
      <c r="D29" s="39"/>
      <c r="E29" s="48"/>
      <c r="F29" s="47"/>
    </row>
    <row r="30" spans="4:6">
      <c r="D30" s="39"/>
      <c r="E30" s="48"/>
      <c r="F30" s="47"/>
    </row>
    <row r="31" spans="4:6">
      <c r="D31" s="39"/>
      <c r="E31" s="47"/>
      <c r="F31" s="47"/>
    </row>
    <row r="32" spans="4:6">
      <c r="D32" s="39"/>
      <c r="E32" s="47"/>
      <c r="F32" s="47"/>
    </row>
    <row r="33" spans="4:6">
      <c r="D33" s="39"/>
      <c r="E33" s="47"/>
      <c r="F33" s="47"/>
    </row>
    <row r="34" spans="4:6">
      <c r="D34" s="39"/>
      <c r="E34" s="47"/>
      <c r="F34" s="47"/>
    </row>
    <row r="39" spans="4:6">
      <c r="D39" s="94"/>
      <c r="E39" s="94"/>
    </row>
    <row r="40" spans="4:6">
      <c r="D40" s="94"/>
      <c r="E40" s="94"/>
    </row>
    <row r="41" spans="4:6">
      <c r="D41" s="94"/>
      <c r="E41" s="94"/>
    </row>
    <row r="42" spans="4:6">
      <c r="D42" s="94"/>
      <c r="E42" s="94"/>
    </row>
    <row r="43" spans="4:6">
      <c r="D43" s="93"/>
      <c r="E43" s="93"/>
    </row>
    <row r="44" spans="4:6">
      <c r="D44" s="93"/>
      <c r="E44" s="93"/>
    </row>
    <row r="45" spans="4:6">
      <c r="D45" s="93"/>
      <c r="E45" s="93"/>
    </row>
    <row r="46" spans="4:6">
      <c r="D46" s="93"/>
      <c r="E46" s="93"/>
    </row>
    <row r="47" spans="4:6">
      <c r="D47" s="93"/>
      <c r="E47" s="93"/>
    </row>
    <row r="48" spans="4:6">
      <c r="D48" s="93"/>
      <c r="E48" s="93"/>
    </row>
    <row r="49" spans="4:5">
      <c r="D49" s="93"/>
      <c r="E49" s="93"/>
    </row>
  </sheetData>
  <mergeCells count="13">
    <mergeCell ref="I1:K1"/>
    <mergeCell ref="I2:K2"/>
    <mergeCell ref="D49:E49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3"/>
  <sheetViews>
    <sheetView rightToLeft="1" workbookViewId="0">
      <selection activeCell="E2" sqref="E2"/>
    </sheetView>
  </sheetViews>
  <sheetFormatPr defaultColWidth="11.3984375" defaultRowHeight="16.8"/>
  <cols>
    <col min="1" max="1" width="11.3984375" style="1"/>
    <col min="2" max="2" width="15.09765625" style="1" customWidth="1"/>
    <col min="3" max="3" width="15.09765625" style="14" customWidth="1"/>
    <col min="4" max="4" width="16.19921875" style="1" customWidth="1"/>
    <col min="5" max="5" width="17.296875" style="3" customWidth="1"/>
    <col min="6" max="6" width="14.09765625" style="3" customWidth="1"/>
    <col min="7" max="16384" width="11.3984375" style="1"/>
  </cols>
  <sheetData>
    <row r="1" spans="1:17" ht="81.599999999999994">
      <c r="A1" s="11" t="s">
        <v>14</v>
      </c>
      <c r="B1" s="12" t="s">
        <v>0</v>
      </c>
      <c r="C1" s="12" t="s">
        <v>39</v>
      </c>
      <c r="D1" s="12" t="s">
        <v>11</v>
      </c>
      <c r="E1" s="13" t="s">
        <v>18</v>
      </c>
      <c r="F1" s="13" t="s">
        <v>16</v>
      </c>
      <c r="G1" s="12" t="s">
        <v>19</v>
      </c>
      <c r="H1" s="12" t="s">
        <v>17</v>
      </c>
      <c r="I1" s="12" t="s">
        <v>20</v>
      </c>
      <c r="J1" s="12" t="s">
        <v>21</v>
      </c>
      <c r="K1" s="12" t="s">
        <v>22</v>
      </c>
      <c r="P1" s="2" t="s">
        <v>66</v>
      </c>
      <c r="Q1" s="2" t="s">
        <v>8</v>
      </c>
    </row>
    <row r="2" spans="1:17" ht="21.6">
      <c r="A2" s="1">
        <f t="shared" ref="A2:A7" si="0">ROW()-1</f>
        <v>1</v>
      </c>
      <c r="B2" s="1" t="s">
        <v>24</v>
      </c>
      <c r="D2" s="5">
        <v>45126</v>
      </c>
      <c r="E2" s="3">
        <v>0</v>
      </c>
      <c r="F2" s="4">
        <f>Table1[[#This Row],[مجموع پس انداز ماهانه ثابت]]-'detail cash'!J5*(MAX(A:A)-1)</f>
        <v>0</v>
      </c>
      <c r="G2" s="3"/>
      <c r="K2" s="3">
        <f>Table1[[#This Row],[سود کسب کرده ناشی از سرمایه گذاری]]+Table1[[#This Row],[سود کسب کرده  ناشی از پس انداز ماهانه ثابت]]+Table1[[#This Row],[سرمایه گذاری در صندوق]]+Table1[[#This Row],[مجموع پس انداز ماهانه ثابت]]</f>
        <v>0</v>
      </c>
      <c r="M2" s="95"/>
      <c r="N2" s="95"/>
      <c r="O2" s="95"/>
      <c r="P2" s="2" t="s">
        <v>6</v>
      </c>
      <c r="Q2" s="2" t="s">
        <v>9</v>
      </c>
    </row>
    <row r="3" spans="1:17" ht="21.6">
      <c r="A3" s="1">
        <f t="shared" si="0"/>
        <v>2</v>
      </c>
      <c r="B3" s="1" t="s">
        <v>80</v>
      </c>
      <c r="C3" s="14">
        <v>6198931898</v>
      </c>
      <c r="D3" s="5">
        <v>45127</v>
      </c>
      <c r="E3" s="3">
        <v>0</v>
      </c>
      <c r="F3" s="4">
        <f>Table1[[#This Row],[مجموع پس انداز ماهانه ثابت]]-'detail cash'!J$8</f>
        <v>-200003</v>
      </c>
      <c r="G3" s="3"/>
      <c r="K3" s="3">
        <f>Table1[[#This Row],[سود کسب کرده ناشی از سرمایه گذاری]]+Table1[[#This Row],[سود کسب کرده  ناشی از پس انداز ماهانه ثابت]]+Table1[[#This Row],[سرمایه گذاری در صندوق]]+Table1[[#This Row],[مجموع پس انداز ماهانه ثابت]]</f>
        <v>0</v>
      </c>
      <c r="M3" s="95"/>
      <c r="N3" s="95"/>
      <c r="O3" s="95"/>
      <c r="P3" s="2" t="s">
        <v>32</v>
      </c>
      <c r="Q3" s="2" t="s">
        <v>69</v>
      </c>
    </row>
    <row r="4" spans="1:17" ht="21.6">
      <c r="A4" s="1">
        <f t="shared" si="0"/>
        <v>3</v>
      </c>
      <c r="B4" s="1" t="s">
        <v>79</v>
      </c>
      <c r="C4" s="14">
        <v>452532932</v>
      </c>
      <c r="D4" s="6"/>
      <c r="E4" s="3">
        <v>0</v>
      </c>
      <c r="F4" s="4">
        <f>Table1[[#This Row],[مجموع پس انداز ماهانه ثابت]]-'detail cash'!J$8</f>
        <v>-200003</v>
      </c>
      <c r="G4" s="3"/>
      <c r="K4" s="3">
        <f>Table1[[#This Row],[سود کسب کرده ناشی از سرمایه گذاری]]+Table1[[#This Row],[سود کسب کرده  ناشی از پس انداز ماهانه ثابت]]+Table1[[#This Row],[سرمایه گذاری در صندوق]]+Table1[[#This Row],[مجموع پس انداز ماهانه ثابت]]</f>
        <v>0</v>
      </c>
      <c r="M4" s="95"/>
      <c r="N4" s="95"/>
      <c r="O4" s="95"/>
      <c r="P4" s="2" t="s">
        <v>7</v>
      </c>
      <c r="Q4" s="7" t="s">
        <v>10</v>
      </c>
    </row>
    <row r="5" spans="1:17" ht="21.6">
      <c r="A5" s="1">
        <f t="shared" si="0"/>
        <v>4</v>
      </c>
      <c r="B5" s="1" t="s">
        <v>81</v>
      </c>
      <c r="C5" s="14">
        <v>6191913</v>
      </c>
      <c r="D5" s="6"/>
      <c r="E5" s="3">
        <v>0</v>
      </c>
      <c r="F5" s="4">
        <f>Table1[[#This Row],[مجموع پس انداز ماهانه ثابت]]-'detail cash'!J$8</f>
        <v>-200003</v>
      </c>
      <c r="G5" s="3"/>
      <c r="K5" s="3">
        <f>Table1[[#This Row],[سود کسب کرده ناشی از سرمایه گذاری]]+Table1[[#This Row],[سود کسب کرده  ناشی از پس انداز ماهانه ثابت]]+Table1[[#This Row],[سرمایه گذاری در صندوق]]+Table1[[#This Row],[مجموع پس انداز ماهانه ثابت]]</f>
        <v>0</v>
      </c>
      <c r="M5" s="95"/>
      <c r="N5" s="95"/>
      <c r="O5" s="95"/>
      <c r="P5" s="2"/>
      <c r="Q5" s="7"/>
    </row>
    <row r="6" spans="1:17" ht="21.6">
      <c r="A6" s="1">
        <f t="shared" si="0"/>
        <v>5</v>
      </c>
      <c r="B6" s="1" t="s">
        <v>82</v>
      </c>
      <c r="C6" s="14">
        <v>99928998</v>
      </c>
      <c r="D6" s="6"/>
      <c r="E6" s="3">
        <v>0</v>
      </c>
      <c r="F6" s="4">
        <f>Table1[[#This Row],[مجموع پس انداز ماهانه ثابت]]-'detail cash'!J$8</f>
        <v>-200003</v>
      </c>
      <c r="G6" s="3"/>
      <c r="K6" s="3">
        <f>Table1[[#This Row],[سود کسب کرده ناشی از سرمایه گذاری]]+Table1[[#This Row],[سود کسب کرده  ناشی از پس انداز ماهانه ثابت]]+Table1[[#This Row],[سرمایه گذاری در صندوق]]+Table1[[#This Row],[مجموع پس انداز ماهانه ثابت]]</f>
        <v>0</v>
      </c>
    </row>
    <row r="7" spans="1:17" ht="21.6">
      <c r="A7" s="1">
        <f t="shared" si="0"/>
        <v>6</v>
      </c>
      <c r="B7" s="1" t="s">
        <v>12</v>
      </c>
      <c r="C7" s="14">
        <v>28632865</v>
      </c>
      <c r="D7" s="6"/>
      <c r="E7" s="3">
        <v>0</v>
      </c>
      <c r="F7" s="4">
        <f>Table1[[#This Row],[مجموع پس انداز ماهانه ثابت]]-'detail cash'!J$8</f>
        <v>-200003</v>
      </c>
      <c r="G7" s="3"/>
      <c r="K7" s="3">
        <f>Table1[[#This Row],[سود کسب کرده ناشی از سرمایه گذاری]]+Table1[[#This Row],[سود کسب کرده  ناشی از پس انداز ماهانه ثابت]]+Table1[[#This Row],[سرمایه گذاری در صندوق]]+Table1[[#This Row],[مجموع پس انداز ماهانه ثابت]]</f>
        <v>0</v>
      </c>
      <c r="M7" s="95"/>
      <c r="N7" s="95"/>
      <c r="O7" s="95"/>
    </row>
    <row r="8" spans="1:17" ht="21.6">
      <c r="A8" s="1">
        <f t="shared" ref="A8:A15" si="1">ROW()-1</f>
        <v>7</v>
      </c>
      <c r="B8" s="1" t="s">
        <v>27</v>
      </c>
      <c r="C8" s="14">
        <v>652898298</v>
      </c>
      <c r="D8" s="6"/>
      <c r="E8" s="3">
        <v>0</v>
      </c>
      <c r="F8" s="4">
        <f>Table1[[#This Row],[مجموع پس انداز ماهانه ثابت]]-'detail cash'!J$8</f>
        <v>-200003</v>
      </c>
      <c r="G8" s="3"/>
      <c r="J8" s="2"/>
      <c r="K8" s="8">
        <f>Table1[[#This Row],[سود کسب کرده ناشی از سرمایه گذاری]]+Table1[[#This Row],[سود کسب کرده  ناشی از پس انداز ماهانه ثابت]]+Table1[[#This Row],[سرمایه گذاری در صندوق]]+Table1[[#This Row],[مجموع پس انداز ماهانه ثابت]]</f>
        <v>0</v>
      </c>
      <c r="M8" s="95"/>
      <c r="N8" s="95"/>
      <c r="O8" s="95"/>
    </row>
    <row r="9" spans="1:17" ht="21.6">
      <c r="A9" s="73">
        <f t="shared" si="1"/>
        <v>8</v>
      </c>
      <c r="B9" s="73" t="s">
        <v>67</v>
      </c>
      <c r="C9" s="73">
        <v>591891897</v>
      </c>
      <c r="D9" s="6"/>
      <c r="E9" s="3">
        <v>0</v>
      </c>
      <c r="F9" s="4">
        <f>Table1[[#This Row],[مجموع پس انداز ماهانه ثابت]]-'detail cash'!J$8</f>
        <v>-200003</v>
      </c>
      <c r="G9" s="3"/>
      <c r="H9" s="73"/>
      <c r="I9" s="73"/>
      <c r="J9" s="71"/>
      <c r="K9" s="72">
        <f>Table1[[#This Row],[سود کسب کرده ناشی از سرمایه گذاری]]+Table1[[#This Row],[سود کسب کرده  ناشی از پس انداز ماهانه ثابت]]+Table1[[#This Row],[سرمایه گذاری در صندوق]]+Table1[[#This Row],[مجموع پس انداز ماهانه ثابت]]</f>
        <v>0</v>
      </c>
      <c r="M9" s="95"/>
      <c r="N9" s="95"/>
      <c r="O9" s="95"/>
    </row>
    <row r="10" spans="1:17" ht="21.6">
      <c r="A10" s="79">
        <f t="shared" si="1"/>
        <v>9</v>
      </c>
      <c r="B10" s="79" t="s">
        <v>72</v>
      </c>
      <c r="C10" s="79">
        <v>87556965</v>
      </c>
      <c r="D10" s="6"/>
      <c r="E10" s="78">
        <v>0</v>
      </c>
      <c r="F10" s="4">
        <f>Table1[[#This Row],[مجموع پس انداز ماهانه ثابت]]-'detail cash'!J$8</f>
        <v>-200003</v>
      </c>
      <c r="G10" s="3"/>
      <c r="H10" s="79"/>
      <c r="I10" s="79"/>
      <c r="J10" s="77"/>
      <c r="K10" s="78">
        <f>Table1[[#This Row],[سود کسب کرده ناشی از سرمایه گذاری]]+Table1[[#This Row],[سود کسب کرده  ناشی از پس انداز ماهانه ثابت]]+Table1[[#This Row],[سرمایه گذاری در صندوق]]+Table1[[#This Row],[مجموع پس انداز ماهانه ثابت]]</f>
        <v>0</v>
      </c>
      <c r="M10" s="95"/>
      <c r="N10" s="95"/>
      <c r="O10" s="95"/>
    </row>
    <row r="11" spans="1:17" ht="16.8" customHeight="1">
      <c r="A11" s="79">
        <f t="shared" si="1"/>
        <v>10</v>
      </c>
      <c r="B11" s="79" t="s">
        <v>73</v>
      </c>
      <c r="C11" s="79">
        <v>526852252</v>
      </c>
      <c r="D11" s="6"/>
      <c r="E11" s="78">
        <v>0</v>
      </c>
      <c r="F11" s="4">
        <f>Table1[[#This Row],[مجموع پس انداز ماهانه ثابت]]-'detail cash'!J$8</f>
        <v>-200003</v>
      </c>
      <c r="G11" s="3"/>
      <c r="H11" s="79"/>
      <c r="I11" s="79"/>
      <c r="J11" s="79"/>
      <c r="K11" s="78">
        <f>Table1[[#This Row],[سود کسب کرده ناشی از سرمایه گذاری]]+Table1[[#This Row],[سود کسب کرده  ناشی از پس انداز ماهانه ثابت]]+Table1[[#This Row],[سرمایه گذاری در صندوق]]+Table1[[#This Row],[مجموع پس انداز ماهانه ثابت]]</f>
        <v>0</v>
      </c>
      <c r="M11" s="95"/>
      <c r="N11" s="95"/>
      <c r="O11" s="95"/>
    </row>
    <row r="12" spans="1:17" ht="21.6">
      <c r="A12" s="79">
        <f t="shared" si="1"/>
        <v>11</v>
      </c>
      <c r="B12" s="79" t="s">
        <v>74</v>
      </c>
      <c r="C12" s="79">
        <v>5293778218</v>
      </c>
      <c r="D12" s="6"/>
      <c r="E12" s="78">
        <v>0</v>
      </c>
      <c r="F12" s="4">
        <f>Table1[[#This Row],[مجموع پس انداز ماهانه ثابت]]-'detail cash'!J$8</f>
        <v>-200003</v>
      </c>
      <c r="G12" s="3"/>
      <c r="H12" s="79"/>
      <c r="I12" s="79"/>
      <c r="J12" s="79"/>
      <c r="K12" s="78">
        <f>Table1[[#This Row],[سود کسب کرده ناشی از سرمایه گذاری]]+Table1[[#This Row],[سود کسب کرده  ناشی از پس انداز ماهانه ثابت]]+Table1[[#This Row],[سرمایه گذاری در صندوق]]+Table1[[#This Row],[مجموع پس انداز ماهانه ثابت]]</f>
        <v>0</v>
      </c>
      <c r="M12" s="95"/>
      <c r="N12" s="95"/>
      <c r="O12" s="95"/>
    </row>
    <row r="13" spans="1:17" ht="21.6">
      <c r="A13" s="79">
        <f t="shared" si="1"/>
        <v>12</v>
      </c>
      <c r="B13" s="79" t="s">
        <v>75</v>
      </c>
      <c r="C13" s="79">
        <v>896937282</v>
      </c>
      <c r="D13" s="6"/>
      <c r="E13" s="78">
        <v>0</v>
      </c>
      <c r="F13" s="4">
        <f>Table1[[#This Row],[مجموع پس انداز ماهانه ثابت]]-'detail cash'!J$8</f>
        <v>-200003</v>
      </c>
      <c r="G13" s="3"/>
      <c r="H13" s="79"/>
      <c r="I13" s="79"/>
      <c r="J13" s="79"/>
      <c r="K13" s="78">
        <f>Table1[[#This Row],[سود کسب کرده ناشی از سرمایه گذاری]]+Table1[[#This Row],[سود کسب کرده  ناشی از پس انداز ماهانه ثابت]]+Table1[[#This Row],[سرمایه گذاری در صندوق]]+Table1[[#This Row],[مجموع پس انداز ماهانه ثابت]]</f>
        <v>0</v>
      </c>
      <c r="M13" s="95"/>
      <c r="N13" s="95"/>
      <c r="O13" s="95"/>
    </row>
    <row r="14" spans="1:17" ht="21.6">
      <c r="A14" s="79">
        <f t="shared" si="1"/>
        <v>13</v>
      </c>
      <c r="B14" s="79" t="s">
        <v>76</v>
      </c>
      <c r="C14" s="79">
        <v>972929272</v>
      </c>
      <c r="D14" s="6"/>
      <c r="E14" s="78">
        <v>0</v>
      </c>
      <c r="F14" s="4">
        <f>Table1[[#This Row],[مجموع پس انداز ماهانه ثابت]]-'detail cash'!J$8</f>
        <v>-200003</v>
      </c>
      <c r="G14" s="3"/>
      <c r="H14" s="79"/>
      <c r="I14" s="79"/>
      <c r="J14" s="79"/>
      <c r="K14" s="78">
        <f>Table1[[#This Row],[سود کسب کرده ناشی از سرمایه گذاری]]+Table1[[#This Row],[سود کسب کرده  ناشی از پس انداز ماهانه ثابت]]+Table1[[#This Row],[سرمایه گذاری در صندوق]]+Table1[[#This Row],[مجموع پس انداز ماهانه ثابت]]</f>
        <v>0</v>
      </c>
      <c r="M14" s="95"/>
      <c r="N14" s="95"/>
      <c r="O14" s="95"/>
    </row>
    <row r="15" spans="1:17" ht="21.6">
      <c r="A15" s="79">
        <f t="shared" si="1"/>
        <v>14</v>
      </c>
      <c r="B15" s="79" t="s">
        <v>77</v>
      </c>
      <c r="C15" s="79">
        <v>97254242246</v>
      </c>
      <c r="D15" s="6"/>
      <c r="E15" s="78">
        <v>0</v>
      </c>
      <c r="F15" s="4">
        <f>Table1[[#This Row],[مجموع پس انداز ماهانه ثابت]]-'detail cash'!J$8</f>
        <v>-200003</v>
      </c>
      <c r="G15" s="3"/>
      <c r="H15" s="79"/>
      <c r="I15" s="79"/>
      <c r="J15" s="79"/>
      <c r="K15" s="78">
        <f>Table1[[#This Row],[سود کسب کرده ناشی از سرمایه گذاری]]+Table1[[#This Row],[سود کسب کرده  ناشی از پس انداز ماهانه ثابت]]+Table1[[#This Row],[سرمایه گذاری در صندوق]]+Table1[[#This Row],[مجموع پس انداز ماهانه ثابت]]</f>
        <v>0</v>
      </c>
      <c r="M15" s="95"/>
      <c r="N15" s="95"/>
      <c r="O15" s="95"/>
    </row>
    <row r="16" spans="1:17">
      <c r="A16" s="9"/>
      <c r="B16" s="9"/>
      <c r="C16" s="9"/>
      <c r="D16" s="9"/>
      <c r="E16" s="9"/>
      <c r="F16" s="9"/>
      <c r="G16" s="9"/>
      <c r="K16" s="9"/>
      <c r="M16" s="95"/>
      <c r="N16" s="95"/>
      <c r="O16" s="95"/>
    </row>
    <row r="17" spans="1:15">
      <c r="A17" s="9"/>
      <c r="B17" s="9"/>
      <c r="C17" s="9"/>
      <c r="D17" s="9"/>
      <c r="E17" s="9"/>
      <c r="F17" s="9"/>
      <c r="G17" s="9"/>
      <c r="K17" s="9"/>
      <c r="M17" s="95"/>
      <c r="N17" s="95"/>
      <c r="O17" s="95"/>
    </row>
    <row r="18" spans="1:15" ht="48.6" customHeight="1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M18" s="95"/>
      <c r="N18" s="95"/>
      <c r="O18" s="95"/>
    </row>
    <row r="19" spans="1:15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M19" s="95"/>
      <c r="N19" s="95"/>
      <c r="O19" s="95"/>
    </row>
    <row r="20" spans="1:1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M20" s="95"/>
      <c r="N20" s="95"/>
      <c r="O20" s="95"/>
    </row>
    <row r="21" spans="1:15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M21" s="95"/>
      <c r="N21" s="95"/>
      <c r="O21" s="95"/>
    </row>
    <row r="22" spans="1:1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</row>
    <row r="23" spans="1:1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M23" s="95"/>
      <c r="N23" s="95"/>
      <c r="O23" s="95"/>
    </row>
    <row r="24" spans="1:1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M24" s="95"/>
      <c r="N24" s="95"/>
      <c r="O24" s="95"/>
    </row>
    <row r="25" spans="1:1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M25" s="95"/>
      <c r="N25" s="95"/>
      <c r="O25" s="95"/>
    </row>
    <row r="26" spans="1:1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</row>
    <row r="27" spans="1:15">
      <c r="D27" s="10"/>
    </row>
    <row r="28" spans="1:15">
      <c r="D28" s="10"/>
    </row>
    <row r="29" spans="1:15">
      <c r="D29" s="10"/>
    </row>
    <row r="30" spans="1:15">
      <c r="D30" s="10"/>
    </row>
    <row r="31" spans="1:15">
      <c r="D31" s="10"/>
    </row>
    <row r="32" spans="1:15">
      <c r="D32" s="10"/>
    </row>
    <row r="33" spans="4:4">
      <c r="D33" s="10"/>
    </row>
  </sheetData>
  <mergeCells count="7">
    <mergeCell ref="M19:O21"/>
    <mergeCell ref="M2:O5"/>
    <mergeCell ref="M23:O25"/>
    <mergeCell ref="M7:O9"/>
    <mergeCell ref="M10:O12"/>
    <mergeCell ref="M13:O15"/>
    <mergeCell ref="M16:O18"/>
  </mergeCells>
  <conditionalFormatting sqref="G2">
    <cfRule type="cellIs" dxfId="67" priority="1" operator="greaterThan">
      <formula>$E$2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15"/>
  <sheetViews>
    <sheetView rightToLeft="1" workbookViewId="0">
      <selection activeCell="C3" sqref="C3"/>
    </sheetView>
  </sheetViews>
  <sheetFormatPr defaultColWidth="8.69921875" defaultRowHeight="16.8"/>
  <cols>
    <col min="1" max="1" width="8.69921875" style="9"/>
    <col min="2" max="3" width="11.796875" style="9" customWidth="1"/>
    <col min="4" max="4" width="4.8984375" style="9" bestFit="1" customWidth="1"/>
    <col min="5" max="5" width="5.8984375" style="9" bestFit="1" customWidth="1"/>
    <col min="6" max="6" width="10.296875" style="9" bestFit="1" customWidth="1"/>
    <col min="7" max="7" width="7.3984375" style="9" bestFit="1" customWidth="1"/>
    <col min="8" max="8" width="11.796875" style="9" customWidth="1"/>
    <col min="9" max="10" width="13.59765625" style="9" bestFit="1" customWidth="1"/>
    <col min="11" max="11" width="8" style="9" customWidth="1"/>
    <col min="12" max="12" width="10.296875" style="9" bestFit="1" customWidth="1"/>
    <col min="13" max="13" width="10.69921875" style="9" customWidth="1"/>
    <col min="14" max="17" width="8.69921875" style="9"/>
    <col min="18" max="18" width="13.296875" style="9" customWidth="1"/>
    <col min="19" max="16384" width="8.69921875" style="9"/>
  </cols>
  <sheetData>
    <row r="1" spans="1:23" ht="52.2" customHeight="1"/>
    <row r="2" spans="1:23" ht="37.200000000000003">
      <c r="B2" s="18" t="s">
        <v>0</v>
      </c>
      <c r="C2" s="19" t="s">
        <v>39</v>
      </c>
      <c r="D2" s="37" t="s">
        <v>1</v>
      </c>
      <c r="E2" s="37" t="s">
        <v>2</v>
      </c>
      <c r="F2" s="37" t="s">
        <v>3</v>
      </c>
      <c r="G2" s="37" t="s">
        <v>4</v>
      </c>
      <c r="H2" s="19" t="s">
        <v>23</v>
      </c>
      <c r="I2" s="19" t="s">
        <v>25</v>
      </c>
      <c r="J2" s="19" t="s">
        <v>26</v>
      </c>
      <c r="K2" s="15" t="s">
        <v>5</v>
      </c>
    </row>
    <row r="3" spans="1:23">
      <c r="A3" s="74"/>
      <c r="B3" s="82"/>
      <c r="C3" s="82"/>
      <c r="D3" s="82"/>
      <c r="E3" s="82" t="s">
        <v>66</v>
      </c>
      <c r="F3" s="82" t="s">
        <v>32</v>
      </c>
      <c r="G3" s="82"/>
      <c r="H3" s="82"/>
      <c r="I3" s="82"/>
      <c r="J3" s="82"/>
      <c r="K3" s="82"/>
      <c r="W3" s="17"/>
    </row>
    <row r="4" spans="1:23">
      <c r="A4" s="74"/>
      <c r="B4" s="82"/>
      <c r="C4" s="82"/>
      <c r="D4" s="82"/>
      <c r="E4" s="82"/>
      <c r="F4" s="82"/>
      <c r="G4" s="82"/>
      <c r="H4" s="82"/>
      <c r="I4" s="82"/>
      <c r="J4" s="82"/>
      <c r="K4" s="82"/>
    </row>
    <row r="5" spans="1:23">
      <c r="A5" s="74"/>
      <c r="B5" s="82"/>
      <c r="C5" s="82"/>
      <c r="D5" s="82"/>
      <c r="E5" s="82"/>
      <c r="F5" s="82"/>
      <c r="G5" s="82"/>
      <c r="H5" s="82"/>
      <c r="I5" s="82"/>
      <c r="J5" s="82"/>
      <c r="K5" s="82"/>
    </row>
    <row r="6" spans="1:23">
      <c r="A6" s="74"/>
      <c r="B6" s="82"/>
      <c r="C6" s="82"/>
      <c r="D6" s="82"/>
      <c r="E6" s="82"/>
      <c r="F6" s="82"/>
      <c r="G6" s="82"/>
      <c r="H6" s="82"/>
      <c r="I6" s="82"/>
      <c r="J6" s="82"/>
      <c r="K6" s="82"/>
    </row>
    <row r="7" spans="1:23">
      <c r="A7" s="74"/>
      <c r="B7" s="82"/>
      <c r="C7" s="82"/>
      <c r="D7" s="82"/>
      <c r="E7" s="82"/>
      <c r="F7" s="82"/>
      <c r="G7" s="82"/>
      <c r="H7" s="82"/>
      <c r="I7" s="82"/>
      <c r="J7" s="82"/>
      <c r="K7" s="82"/>
    </row>
    <row r="8" spans="1:23">
      <c r="A8" s="74"/>
      <c r="B8" s="82"/>
      <c r="C8" s="82"/>
      <c r="D8" s="82"/>
      <c r="E8" s="82"/>
      <c r="F8" s="82"/>
      <c r="G8" s="82"/>
      <c r="H8" s="82"/>
      <c r="I8" s="82"/>
      <c r="J8" s="82"/>
      <c r="K8" s="82"/>
    </row>
    <row r="9" spans="1:23">
      <c r="B9" s="82"/>
      <c r="C9" s="82"/>
      <c r="D9" s="82"/>
      <c r="E9" s="82"/>
      <c r="F9" s="82"/>
      <c r="G9" s="82"/>
      <c r="H9" s="82"/>
      <c r="I9" s="82"/>
      <c r="J9" s="82"/>
      <c r="K9" s="82"/>
    </row>
    <row r="10" spans="1:23">
      <c r="B10" s="82"/>
      <c r="C10" s="82"/>
      <c r="D10" s="82"/>
      <c r="E10" s="82"/>
      <c r="F10" s="82"/>
      <c r="G10" s="82"/>
      <c r="H10" s="82"/>
      <c r="I10" s="82"/>
      <c r="J10" s="82"/>
      <c r="K10" s="82"/>
    </row>
    <row r="11" spans="1:23">
      <c r="B11" s="82"/>
      <c r="C11" s="82"/>
      <c r="D11" s="82"/>
      <c r="E11" s="82"/>
      <c r="F11" s="82"/>
      <c r="G11" s="82"/>
      <c r="H11" s="82"/>
      <c r="I11" s="82"/>
      <c r="J11" s="82"/>
      <c r="K11" s="82"/>
    </row>
    <row r="12" spans="1:23">
      <c r="B12" s="82"/>
      <c r="C12" s="82"/>
      <c r="D12" s="82"/>
      <c r="E12" s="82"/>
      <c r="F12" s="82"/>
      <c r="G12" s="82"/>
      <c r="H12" s="82"/>
      <c r="I12" s="82"/>
      <c r="J12" s="82"/>
      <c r="K12" s="82"/>
    </row>
    <row r="13" spans="1:23">
      <c r="B13" s="82"/>
      <c r="C13" s="82"/>
      <c r="D13" s="82"/>
      <c r="E13" s="82"/>
      <c r="F13" s="82"/>
      <c r="G13" s="82"/>
      <c r="H13" s="82"/>
      <c r="I13" s="82"/>
      <c r="J13" s="82"/>
      <c r="K13" s="82"/>
    </row>
    <row r="14" spans="1:23">
      <c r="B14" s="82"/>
      <c r="C14" s="82"/>
      <c r="D14" s="82"/>
      <c r="E14" s="82"/>
      <c r="F14" s="82"/>
      <c r="G14" s="82"/>
      <c r="H14" s="82"/>
      <c r="I14" s="82"/>
      <c r="J14" s="82"/>
      <c r="K14" s="82"/>
    </row>
    <row r="15" spans="1:23">
      <c r="B15" s="82"/>
      <c r="C15" s="82"/>
      <c r="D15" s="82"/>
      <c r="E15" s="82"/>
      <c r="F15" s="82"/>
      <c r="G15" s="82"/>
      <c r="H15" s="82"/>
      <c r="I15" s="82"/>
      <c r="J15" s="82"/>
      <c r="K15" s="82"/>
    </row>
  </sheetData>
  <dataValidations count="1">
    <dataValidation type="list" allowBlank="1" showInputMessage="1" showErrorMessage="1" sqref="F3:F15">
      <formula1>INDIRECT($E3)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person!$P$1:$Q$1</xm:f>
          </x14:formula1>
          <xm:sqref>E3:E15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234"/>
  <sheetViews>
    <sheetView rightToLeft="1" workbookViewId="0">
      <selection activeCell="W13" sqref="W13"/>
    </sheetView>
  </sheetViews>
  <sheetFormatPr defaultRowHeight="16.8"/>
  <cols>
    <col min="1" max="1" width="13.3984375" style="51" customWidth="1"/>
    <col min="2" max="2" width="12.59765625" style="51" bestFit="1" customWidth="1"/>
    <col min="3" max="3" width="8.796875" style="51"/>
    <col min="4" max="4" width="13.5" style="51" bestFit="1" customWidth="1"/>
    <col min="5" max="5" width="16.5" style="51" customWidth="1"/>
    <col min="6" max="6" width="8.8984375" style="51" bestFit="1" customWidth="1"/>
    <col min="7" max="7" width="13" style="51" customWidth="1"/>
    <col min="8" max="8" width="10.796875" style="51" customWidth="1"/>
    <col min="9" max="9" width="9.5" style="51" bestFit="1" customWidth="1"/>
    <col min="10" max="10" width="1.09765625" style="93" customWidth="1"/>
    <col min="11" max="11" width="13.3984375" style="51" customWidth="1"/>
    <col min="12" max="12" width="13.19921875" style="51" customWidth="1"/>
    <col min="13" max="13" width="9.3984375" style="51" bestFit="1" customWidth="1"/>
    <col min="14" max="14" width="9.3984375" style="51" customWidth="1"/>
    <col min="15" max="15" width="9.8984375" style="51" bestFit="1" customWidth="1"/>
    <col min="16" max="16" width="9.796875" style="52" bestFit="1" customWidth="1"/>
    <col min="17" max="17" width="16.5" style="51" customWidth="1"/>
    <col min="18" max="18" width="11.5" style="51" customWidth="1"/>
    <col min="19" max="19" width="8.796875" style="51"/>
    <col min="20" max="20" width="7.19921875" style="51" customWidth="1"/>
    <col min="21" max="21" width="10.59765625" style="51" customWidth="1"/>
    <col min="22" max="16384" width="8.796875" style="51"/>
  </cols>
  <sheetData>
    <row r="1" spans="1:22" ht="38.4" customHeight="1">
      <c r="B1" s="88"/>
      <c r="C1" s="88"/>
      <c r="D1" s="88"/>
      <c r="E1" s="88"/>
      <c r="F1" s="88"/>
      <c r="G1" s="88"/>
      <c r="H1" s="88"/>
      <c r="K1"/>
      <c r="L1"/>
      <c r="N1" s="23" t="s">
        <v>35</v>
      </c>
      <c r="O1" s="56" t="s">
        <v>77</v>
      </c>
      <c r="P1" s="55" t="s">
        <v>39</v>
      </c>
      <c r="Q1" s="57">
        <f>INDEX(Table1[[کد شناسایی]:[کد شناسایی]],MATCH(O1,Table1[[نام صاحب حساب]:[نام صاحب حساب]],0))</f>
        <v>97254242246</v>
      </c>
      <c r="R1" s="61" t="s">
        <v>23</v>
      </c>
      <c r="S1" s="62"/>
      <c r="U1" s="96"/>
      <c r="V1" s="96"/>
    </row>
    <row r="2" spans="1:22">
      <c r="B2" s="88"/>
      <c r="C2" s="88"/>
      <c r="D2" s="88"/>
      <c r="E2" s="88"/>
      <c r="F2" s="88"/>
      <c r="G2" s="88"/>
      <c r="H2" s="88"/>
      <c r="K2"/>
      <c r="N2" s="24" t="s">
        <v>36</v>
      </c>
      <c r="O2" s="25">
        <v>15000000</v>
      </c>
      <c r="P2" s="26" t="s">
        <v>37</v>
      </c>
      <c r="Q2" s="69" t="s">
        <v>38</v>
      </c>
      <c r="R2" s="55" t="s">
        <v>34</v>
      </c>
      <c r="S2" s="60">
        <v>10</v>
      </c>
    </row>
    <row r="3" spans="1:22" ht="34.200000000000003" thickBot="1">
      <c r="B3" s="88"/>
      <c r="C3" s="88"/>
      <c r="D3" s="88"/>
      <c r="E3" s="88"/>
      <c r="F3" s="88"/>
      <c r="G3" s="88"/>
      <c r="H3" s="88"/>
      <c r="N3" s="27" t="s">
        <v>33</v>
      </c>
      <c r="O3" s="28">
        <v>1</v>
      </c>
      <c r="P3" s="29" t="s">
        <v>64</v>
      </c>
      <c r="Q3" s="68">
        <f>O2/S2</f>
        <v>1500000</v>
      </c>
      <c r="R3" s="59"/>
      <c r="S3" s="58"/>
    </row>
    <row r="5" spans="1:22">
      <c r="D5" s="97" t="s">
        <v>62</v>
      </c>
      <c r="E5" s="97"/>
      <c r="F5" s="97"/>
      <c r="G5" s="7"/>
      <c r="R5" s="70">
        <f ca="1">NOW()</f>
        <v>45165.905402083336</v>
      </c>
    </row>
    <row r="6" spans="1:22">
      <c r="D6" s="97"/>
      <c r="E6" s="97"/>
      <c r="F6" s="97"/>
      <c r="G6" s="7"/>
    </row>
    <row r="7" spans="1:22" ht="34.799999999999997" customHeight="1">
      <c r="A7" s="35" t="s">
        <v>0</v>
      </c>
      <c r="B7" s="35" t="s">
        <v>39</v>
      </c>
      <c r="C7" s="33" t="s">
        <v>1</v>
      </c>
      <c r="D7" s="33" t="s">
        <v>4</v>
      </c>
      <c r="E7" s="35" t="s">
        <v>23</v>
      </c>
      <c r="F7" s="35" t="s">
        <v>26</v>
      </c>
      <c r="G7" s="35" t="s">
        <v>33</v>
      </c>
      <c r="H7" s="33" t="s">
        <v>40</v>
      </c>
      <c r="I7" s="33" t="s">
        <v>63</v>
      </c>
      <c r="K7" s="30" t="s">
        <v>0</v>
      </c>
      <c r="L7" s="31" t="s">
        <v>39</v>
      </c>
      <c r="M7" s="32" t="s">
        <v>1</v>
      </c>
      <c r="N7" s="32" t="s">
        <v>2</v>
      </c>
      <c r="O7" s="33" t="s">
        <v>78</v>
      </c>
      <c r="P7" s="34" t="s">
        <v>4</v>
      </c>
      <c r="Q7" s="35" t="s">
        <v>23</v>
      </c>
      <c r="R7" s="35" t="s">
        <v>25</v>
      </c>
      <c r="S7" s="31" t="s">
        <v>26</v>
      </c>
      <c r="T7" s="36" t="s">
        <v>5</v>
      </c>
    </row>
    <row r="8" spans="1:22">
      <c r="A8" s="77" t="s">
        <v>75</v>
      </c>
      <c r="B8" s="77">
        <v>896937282</v>
      </c>
      <c r="C8" s="77" t="s">
        <v>38</v>
      </c>
      <c r="D8" s="78">
        <v>10000000</v>
      </c>
      <c r="E8" s="77"/>
      <c r="F8" s="77">
        <v>1</v>
      </c>
      <c r="G8" s="77">
        <v>1.5</v>
      </c>
      <c r="H8" s="77" t="s">
        <v>65</v>
      </c>
      <c r="I8" s="78">
        <v>0</v>
      </c>
      <c r="K8" s="85"/>
      <c r="L8" s="85"/>
      <c r="M8" s="84"/>
      <c r="N8" s="85" t="s">
        <v>66</v>
      </c>
      <c r="O8" s="85" t="s">
        <v>7</v>
      </c>
      <c r="P8" s="86"/>
      <c r="Q8" s="85"/>
      <c r="R8" s="85"/>
      <c r="S8" s="85"/>
      <c r="T8" s="85"/>
    </row>
    <row r="9" spans="1:22">
      <c r="A9" s="80" t="s">
        <v>77</v>
      </c>
      <c r="B9" s="80">
        <v>97254242246</v>
      </c>
      <c r="C9" s="80" t="s">
        <v>38</v>
      </c>
      <c r="D9" s="81">
        <v>15000000</v>
      </c>
      <c r="E9" s="80"/>
      <c r="F9" s="80">
        <v>1</v>
      </c>
      <c r="G9" s="80">
        <v>1</v>
      </c>
      <c r="H9" s="80" t="s">
        <v>65</v>
      </c>
      <c r="I9" s="81">
        <v>0</v>
      </c>
      <c r="K9" s="85"/>
      <c r="L9" s="85"/>
      <c r="M9" s="84"/>
      <c r="N9" s="85"/>
      <c r="O9" s="85"/>
      <c r="P9" s="86"/>
      <c r="Q9" s="85"/>
      <c r="R9" s="85"/>
      <c r="S9" s="85"/>
      <c r="T9" s="85"/>
    </row>
    <row r="10" spans="1:22">
      <c r="A10" s="82" t="s">
        <v>77</v>
      </c>
      <c r="B10" s="82">
        <v>97254242246</v>
      </c>
      <c r="C10" s="82" t="s">
        <v>38</v>
      </c>
      <c r="D10" s="83">
        <v>15000000</v>
      </c>
      <c r="E10" s="82"/>
      <c r="F10" s="82">
        <v>2</v>
      </c>
      <c r="G10" s="82">
        <v>1</v>
      </c>
      <c r="H10" s="82" t="s">
        <v>65</v>
      </c>
      <c r="I10" s="83">
        <v>0</v>
      </c>
      <c r="K10" s="85"/>
      <c r="L10" s="85"/>
      <c r="M10" s="84"/>
      <c r="N10" s="85"/>
      <c r="O10" s="85"/>
      <c r="P10" s="86"/>
      <c r="Q10" s="85"/>
      <c r="R10" s="85"/>
      <c r="S10" s="85"/>
      <c r="T10" s="85"/>
    </row>
    <row r="11" spans="1:22">
      <c r="A11" s="82" t="s">
        <v>77</v>
      </c>
      <c r="B11" s="82">
        <v>97254242246</v>
      </c>
      <c r="C11" s="82" t="s">
        <v>38</v>
      </c>
      <c r="D11" s="83">
        <v>15000000</v>
      </c>
      <c r="E11" s="82"/>
      <c r="F11" s="82">
        <v>3</v>
      </c>
      <c r="G11" s="82">
        <v>1</v>
      </c>
      <c r="H11" s="82" t="s">
        <v>65</v>
      </c>
      <c r="I11" s="83">
        <v>0</v>
      </c>
      <c r="K11" s="85"/>
      <c r="L11" s="85"/>
      <c r="M11" s="84"/>
      <c r="N11" s="85"/>
      <c r="O11" s="85"/>
      <c r="P11" s="86"/>
      <c r="Q11" s="85"/>
      <c r="R11" s="85"/>
      <c r="S11" s="85"/>
      <c r="T11" s="85"/>
    </row>
    <row r="12" spans="1:22">
      <c r="A12" s="85" t="s">
        <v>77</v>
      </c>
      <c r="B12" s="85">
        <v>97254242246</v>
      </c>
      <c r="C12" s="85" t="s">
        <v>38</v>
      </c>
      <c r="D12" s="86">
        <v>15000000</v>
      </c>
      <c r="E12" s="85"/>
      <c r="F12" s="85">
        <v>4</v>
      </c>
      <c r="G12" s="85">
        <v>1</v>
      </c>
      <c r="H12" s="85" t="s">
        <v>65</v>
      </c>
      <c r="I12" s="86">
        <v>0</v>
      </c>
      <c r="K12" s="85"/>
      <c r="L12" s="85"/>
      <c r="M12" s="84"/>
      <c r="N12" s="85"/>
      <c r="O12" s="85"/>
      <c r="P12" s="86"/>
      <c r="Q12" s="85"/>
      <c r="R12" s="85"/>
      <c r="S12" s="85"/>
      <c r="T12" s="85"/>
    </row>
    <row r="13" spans="1:22">
      <c r="A13" s="53"/>
      <c r="B13" s="53"/>
      <c r="C13" s="53"/>
      <c r="D13" s="54"/>
      <c r="E13" s="53"/>
      <c r="F13" s="53"/>
      <c r="G13" s="53"/>
      <c r="H13" s="53"/>
      <c r="I13" s="53"/>
      <c r="K13" s="85"/>
      <c r="L13" s="85"/>
      <c r="M13" s="84"/>
      <c r="N13" s="85"/>
      <c r="O13" s="85"/>
      <c r="P13" s="86"/>
      <c r="Q13" s="85"/>
      <c r="R13" s="85"/>
      <c r="S13" s="85"/>
      <c r="T13" s="85"/>
    </row>
    <row r="14" spans="1:22">
      <c r="A14" s="53"/>
      <c r="B14" s="53"/>
      <c r="C14" s="53"/>
      <c r="D14" s="54"/>
      <c r="E14" s="53"/>
      <c r="F14" s="53"/>
      <c r="G14" s="53"/>
      <c r="H14" s="53"/>
      <c r="I14" s="53"/>
      <c r="K14" s="85"/>
      <c r="L14" s="85"/>
      <c r="M14" s="84"/>
      <c r="N14" s="85"/>
      <c r="O14" s="85"/>
      <c r="P14" s="86"/>
      <c r="Q14" s="85"/>
      <c r="R14" s="85"/>
      <c r="S14" s="85"/>
      <c r="T14" s="85"/>
    </row>
    <row r="15" spans="1:22">
      <c r="A15" s="53"/>
      <c r="B15" s="53"/>
      <c r="C15" s="53"/>
      <c r="D15" s="54"/>
      <c r="E15" s="53"/>
      <c r="F15" s="53"/>
      <c r="G15" s="53"/>
      <c r="H15" s="53"/>
      <c r="I15" s="53"/>
      <c r="K15" s="85"/>
      <c r="L15" s="85"/>
      <c r="M15" s="84"/>
      <c r="N15" s="85"/>
      <c r="O15" s="85"/>
      <c r="P15" s="86"/>
      <c r="Q15" s="85"/>
      <c r="R15" s="85"/>
      <c r="S15" s="85"/>
      <c r="T15" s="85"/>
    </row>
    <row r="16" spans="1:22">
      <c r="A16" s="53"/>
      <c r="B16" s="53"/>
      <c r="C16" s="53"/>
      <c r="D16" s="54"/>
      <c r="E16" s="53"/>
      <c r="F16" s="53"/>
      <c r="G16" s="53"/>
      <c r="H16" s="53"/>
      <c r="I16" s="53"/>
      <c r="K16" s="85"/>
      <c r="L16" s="85"/>
      <c r="M16" s="84"/>
      <c r="N16" s="85"/>
      <c r="O16" s="85"/>
      <c r="P16" s="86"/>
      <c r="Q16" s="85"/>
      <c r="R16" s="85"/>
      <c r="S16" s="85"/>
      <c r="T16" s="85"/>
    </row>
    <row r="17" spans="1:20">
      <c r="A17" s="53"/>
      <c r="B17" s="53"/>
      <c r="C17" s="53"/>
      <c r="D17" s="54"/>
      <c r="E17" s="53"/>
      <c r="F17" s="53"/>
      <c r="G17" s="53"/>
      <c r="H17" s="53"/>
      <c r="I17" s="53"/>
      <c r="K17" s="85"/>
      <c r="L17" s="85"/>
      <c r="M17" s="84"/>
      <c r="N17" s="85"/>
      <c r="O17" s="85"/>
      <c r="P17" s="86"/>
      <c r="Q17" s="85"/>
      <c r="R17" s="85"/>
      <c r="S17" s="85"/>
      <c r="T17" s="85"/>
    </row>
    <row r="18" spans="1:20">
      <c r="A18" s="53"/>
      <c r="B18" s="53"/>
      <c r="C18" s="53"/>
      <c r="D18" s="54"/>
      <c r="E18" s="53"/>
      <c r="F18" s="53"/>
      <c r="G18" s="53"/>
      <c r="H18" s="53"/>
      <c r="I18" s="53"/>
      <c r="K18" s="85"/>
      <c r="L18" s="85"/>
      <c r="M18" s="85"/>
      <c r="N18" s="85"/>
      <c r="O18" s="85"/>
      <c r="P18" s="85"/>
      <c r="Q18" s="85"/>
      <c r="R18" s="85"/>
      <c r="S18" s="85"/>
      <c r="T18" s="85"/>
    </row>
    <row r="19" spans="1:20">
      <c r="A19" s="53"/>
      <c r="B19" s="53"/>
      <c r="C19" s="53"/>
      <c r="D19" s="54"/>
      <c r="E19" s="53"/>
      <c r="F19" s="53"/>
      <c r="G19" s="53"/>
      <c r="H19" s="53"/>
      <c r="I19" s="53"/>
    </row>
    <row r="20" spans="1:20">
      <c r="A20" s="53"/>
      <c r="B20" s="53"/>
      <c r="C20" s="53"/>
      <c r="D20" s="54"/>
      <c r="E20" s="53"/>
      <c r="F20" s="53"/>
      <c r="G20" s="53"/>
      <c r="H20" s="53"/>
      <c r="I20" s="53"/>
    </row>
    <row r="21" spans="1:20">
      <c r="A21" s="53"/>
      <c r="B21" s="53"/>
      <c r="C21" s="53"/>
      <c r="D21" s="54"/>
      <c r="E21" s="53"/>
      <c r="F21" s="53"/>
      <c r="G21" s="53"/>
      <c r="H21" s="53"/>
      <c r="I21" s="53"/>
    </row>
    <row r="22" spans="1:20">
      <c r="A22" s="53"/>
      <c r="B22" s="53"/>
      <c r="C22" s="53"/>
      <c r="D22" s="54"/>
      <c r="E22" s="53"/>
      <c r="F22" s="53"/>
      <c r="G22" s="53"/>
      <c r="H22" s="53"/>
      <c r="I22" s="53"/>
    </row>
    <row r="23" spans="1:20">
      <c r="A23" s="53"/>
      <c r="B23" s="53"/>
      <c r="C23" s="53"/>
      <c r="D23" s="54"/>
      <c r="E23" s="53"/>
      <c r="F23" s="53"/>
      <c r="G23" s="53"/>
      <c r="H23" s="53"/>
      <c r="I23" s="53"/>
    </row>
    <row r="24" spans="1:20">
      <c r="A24" s="53"/>
      <c r="B24" s="53"/>
      <c r="C24" s="53"/>
      <c r="D24" s="54"/>
      <c r="E24" s="53"/>
      <c r="F24" s="53"/>
      <c r="G24" s="53"/>
      <c r="H24" s="53"/>
      <c r="I24" s="53"/>
    </row>
    <row r="25" spans="1:20">
      <c r="A25" s="53"/>
      <c r="B25" s="53"/>
      <c r="C25" s="53"/>
      <c r="D25" s="54"/>
      <c r="E25" s="53"/>
      <c r="F25" s="53"/>
      <c r="G25" s="53"/>
      <c r="H25" s="53"/>
      <c r="I25" s="53"/>
    </row>
    <row r="26" spans="1:20">
      <c r="A26" s="53"/>
      <c r="B26" s="53"/>
      <c r="C26" s="53"/>
      <c r="D26" s="54"/>
      <c r="E26" s="53"/>
      <c r="F26" s="53"/>
      <c r="G26" s="53"/>
      <c r="H26" s="53"/>
      <c r="I26" s="53"/>
    </row>
    <row r="27" spans="1:20">
      <c r="A27" s="53"/>
      <c r="B27" s="53"/>
      <c r="C27" s="53"/>
      <c r="D27" s="54"/>
      <c r="E27" s="53"/>
      <c r="F27" s="53"/>
      <c r="G27" s="53"/>
      <c r="H27" s="53"/>
      <c r="I27" s="53"/>
    </row>
    <row r="28" spans="1:20">
      <c r="A28" s="53"/>
      <c r="B28" s="53"/>
      <c r="C28" s="53"/>
      <c r="D28" s="54"/>
      <c r="E28" s="53"/>
      <c r="F28" s="53"/>
      <c r="G28" s="53"/>
      <c r="H28" s="53"/>
      <c r="I28" s="53"/>
    </row>
    <row r="29" spans="1:20">
      <c r="A29" s="53"/>
      <c r="B29" s="53"/>
      <c r="C29" s="53"/>
      <c r="D29" s="54"/>
      <c r="E29" s="53"/>
      <c r="F29" s="53"/>
      <c r="G29" s="53"/>
      <c r="H29" s="53"/>
      <c r="I29" s="53"/>
    </row>
    <row r="30" spans="1:20">
      <c r="A30" s="53"/>
      <c r="B30" s="53"/>
      <c r="C30" s="53"/>
      <c r="D30" s="54"/>
      <c r="E30" s="53"/>
      <c r="F30" s="53"/>
      <c r="G30" s="53"/>
      <c r="H30" s="53"/>
      <c r="I30" s="53"/>
    </row>
    <row r="31" spans="1:20">
      <c r="A31" s="53"/>
      <c r="B31" s="53"/>
      <c r="C31" s="53"/>
      <c r="D31" s="54"/>
      <c r="E31" s="53"/>
      <c r="F31" s="53"/>
      <c r="G31" s="53"/>
      <c r="H31" s="53"/>
      <c r="I31" s="53"/>
    </row>
    <row r="32" spans="1:20">
      <c r="A32" s="53"/>
      <c r="B32" s="53"/>
      <c r="C32" s="53"/>
      <c r="D32" s="54"/>
      <c r="E32" s="53"/>
      <c r="F32" s="53"/>
      <c r="G32" s="53"/>
      <c r="H32" s="53"/>
      <c r="I32" s="53"/>
    </row>
    <row r="33" spans="1:9">
      <c r="A33" s="53"/>
      <c r="B33" s="53"/>
      <c r="C33" s="53"/>
      <c r="D33" s="54"/>
      <c r="E33" s="53"/>
      <c r="F33" s="53"/>
      <c r="G33" s="53"/>
      <c r="H33" s="53"/>
      <c r="I33" s="53"/>
    </row>
    <row r="34" spans="1:9">
      <c r="A34" s="53"/>
      <c r="B34" s="53"/>
      <c r="C34" s="53"/>
      <c r="D34" s="54"/>
      <c r="E34" s="53"/>
      <c r="F34" s="53"/>
      <c r="G34" s="53"/>
      <c r="H34" s="53"/>
      <c r="I34" s="53"/>
    </row>
    <row r="35" spans="1:9">
      <c r="A35" s="53"/>
      <c r="B35" s="53"/>
      <c r="C35" s="53"/>
      <c r="D35" s="54"/>
      <c r="E35" s="53"/>
      <c r="F35" s="53"/>
      <c r="G35" s="53"/>
      <c r="H35" s="53"/>
      <c r="I35" s="53"/>
    </row>
    <row r="36" spans="1:9">
      <c r="A36" s="53"/>
      <c r="B36" s="53"/>
      <c r="C36" s="53"/>
      <c r="D36" s="54"/>
      <c r="E36" s="53"/>
      <c r="F36" s="53"/>
      <c r="G36" s="53"/>
      <c r="H36" s="53"/>
      <c r="I36" s="53"/>
    </row>
    <row r="37" spans="1:9">
      <c r="A37" s="53"/>
      <c r="B37" s="53"/>
      <c r="C37" s="53"/>
      <c r="D37" s="54"/>
      <c r="E37" s="53"/>
      <c r="F37" s="53"/>
      <c r="G37" s="53"/>
      <c r="H37" s="53"/>
      <c r="I37" s="53"/>
    </row>
    <row r="38" spans="1:9">
      <c r="A38" s="53"/>
      <c r="B38" s="53"/>
      <c r="C38" s="53"/>
      <c r="D38" s="54"/>
      <c r="E38" s="53"/>
      <c r="F38" s="53"/>
      <c r="G38" s="53"/>
      <c r="H38" s="53"/>
      <c r="I38" s="53"/>
    </row>
    <row r="39" spans="1:9">
      <c r="A39" s="53"/>
      <c r="B39" s="53"/>
      <c r="C39" s="53"/>
      <c r="D39" s="54"/>
      <c r="E39" s="53"/>
      <c r="F39" s="53"/>
      <c r="G39" s="53"/>
      <c r="H39" s="53"/>
      <c r="I39" s="53"/>
    </row>
    <row r="40" spans="1:9">
      <c r="A40" s="53"/>
      <c r="B40" s="53"/>
      <c r="C40" s="53"/>
      <c r="D40" s="54"/>
      <c r="E40" s="53"/>
      <c r="F40" s="53"/>
      <c r="G40" s="53"/>
      <c r="H40" s="53"/>
      <c r="I40" s="53"/>
    </row>
    <row r="41" spans="1:9">
      <c r="A41" s="53"/>
      <c r="B41" s="53"/>
      <c r="C41" s="53"/>
      <c r="D41" s="54"/>
      <c r="E41" s="53"/>
      <c r="F41" s="53"/>
      <c r="G41" s="53"/>
      <c r="H41" s="53"/>
      <c r="I41" s="53"/>
    </row>
    <row r="42" spans="1:9">
      <c r="A42" s="53"/>
      <c r="B42" s="53"/>
      <c r="C42" s="53"/>
      <c r="D42" s="54"/>
      <c r="E42" s="53"/>
      <c r="F42" s="53"/>
      <c r="G42" s="53"/>
      <c r="H42" s="53"/>
      <c r="I42" s="53"/>
    </row>
    <row r="43" spans="1:9">
      <c r="A43" s="53"/>
      <c r="B43" s="53"/>
      <c r="C43" s="53"/>
      <c r="D43" s="54"/>
      <c r="E43" s="53"/>
      <c r="F43" s="53"/>
      <c r="G43" s="53"/>
      <c r="H43" s="53"/>
      <c r="I43" s="53"/>
    </row>
    <row r="44" spans="1:9">
      <c r="A44" s="53"/>
      <c r="B44" s="53"/>
      <c r="C44" s="53"/>
      <c r="D44" s="54"/>
      <c r="E44" s="53"/>
      <c r="F44" s="53"/>
      <c r="G44" s="53"/>
      <c r="H44" s="53"/>
      <c r="I44" s="53"/>
    </row>
    <row r="45" spans="1:9">
      <c r="A45" s="53"/>
      <c r="B45" s="53"/>
      <c r="C45" s="53"/>
      <c r="D45" s="54"/>
      <c r="E45" s="53"/>
      <c r="F45" s="53"/>
      <c r="G45" s="53"/>
      <c r="H45" s="53"/>
      <c r="I45" s="53"/>
    </row>
    <row r="46" spans="1:9">
      <c r="A46" s="53"/>
      <c r="B46" s="53"/>
      <c r="C46" s="53"/>
      <c r="D46" s="54"/>
      <c r="E46" s="53"/>
      <c r="F46" s="53"/>
      <c r="G46" s="53"/>
      <c r="H46" s="53"/>
      <c r="I46" s="53"/>
    </row>
    <row r="47" spans="1:9">
      <c r="A47" s="53"/>
      <c r="B47" s="53"/>
      <c r="C47" s="53"/>
      <c r="D47" s="54"/>
      <c r="E47" s="53"/>
      <c r="F47" s="53"/>
      <c r="G47" s="53"/>
      <c r="H47" s="53"/>
      <c r="I47" s="53"/>
    </row>
    <row r="48" spans="1:9">
      <c r="A48" s="53"/>
      <c r="B48" s="53"/>
      <c r="C48" s="53"/>
      <c r="D48" s="54"/>
      <c r="E48" s="53"/>
      <c r="F48" s="53"/>
      <c r="G48" s="53"/>
      <c r="H48" s="53"/>
      <c r="I48" s="53"/>
    </row>
    <row r="49" spans="1:9">
      <c r="A49" s="53"/>
      <c r="B49" s="53"/>
      <c r="C49" s="53"/>
      <c r="D49" s="54"/>
      <c r="E49" s="53"/>
      <c r="F49" s="53"/>
      <c r="G49" s="53"/>
      <c r="H49" s="53"/>
      <c r="I49" s="53"/>
    </row>
    <row r="50" spans="1:9">
      <c r="A50" s="53"/>
      <c r="B50" s="53"/>
      <c r="C50" s="53"/>
      <c r="D50" s="54"/>
      <c r="E50" s="53"/>
      <c r="F50" s="53"/>
      <c r="G50" s="53"/>
      <c r="H50" s="53"/>
      <c r="I50" s="53"/>
    </row>
    <row r="51" spans="1:9">
      <c r="A51" s="53"/>
      <c r="B51" s="53"/>
      <c r="C51" s="53"/>
      <c r="D51" s="54"/>
      <c r="E51" s="53"/>
      <c r="F51" s="53"/>
      <c r="G51" s="53"/>
      <c r="H51" s="53"/>
      <c r="I51" s="53"/>
    </row>
    <row r="52" spans="1:9">
      <c r="A52" s="53"/>
      <c r="B52" s="53"/>
      <c r="C52" s="53"/>
      <c r="D52" s="54"/>
      <c r="E52" s="53"/>
      <c r="F52" s="53"/>
      <c r="G52" s="53"/>
      <c r="H52" s="53"/>
      <c r="I52" s="53"/>
    </row>
    <row r="53" spans="1:9">
      <c r="A53" s="53"/>
      <c r="B53" s="53"/>
      <c r="C53" s="53"/>
      <c r="D53" s="54"/>
      <c r="E53" s="53"/>
      <c r="F53" s="53"/>
      <c r="G53" s="53"/>
      <c r="H53" s="53"/>
      <c r="I53" s="53"/>
    </row>
    <row r="54" spans="1:9">
      <c r="A54" s="53"/>
      <c r="B54" s="53"/>
      <c r="C54" s="53"/>
      <c r="D54" s="54"/>
      <c r="E54" s="53"/>
      <c r="F54" s="53"/>
      <c r="G54" s="53"/>
      <c r="H54" s="53"/>
      <c r="I54" s="53"/>
    </row>
    <row r="55" spans="1:9">
      <c r="A55" s="53"/>
      <c r="B55" s="53"/>
      <c r="C55" s="53"/>
      <c r="D55" s="54"/>
      <c r="E55" s="53"/>
      <c r="F55" s="53"/>
      <c r="G55" s="53"/>
      <c r="H55" s="53"/>
      <c r="I55" s="53"/>
    </row>
    <row r="56" spans="1:9">
      <c r="A56" s="53"/>
      <c r="B56" s="53"/>
      <c r="C56" s="53"/>
      <c r="D56" s="54"/>
      <c r="E56" s="53"/>
      <c r="F56" s="53"/>
      <c r="G56" s="53"/>
      <c r="H56" s="53"/>
      <c r="I56" s="53"/>
    </row>
    <row r="57" spans="1:9">
      <c r="A57" s="53"/>
      <c r="B57" s="53"/>
      <c r="C57" s="53"/>
      <c r="D57" s="54"/>
      <c r="E57" s="53"/>
      <c r="F57" s="53"/>
      <c r="G57" s="53"/>
      <c r="H57" s="53"/>
      <c r="I57" s="53"/>
    </row>
    <row r="58" spans="1:9">
      <c r="A58" s="53"/>
      <c r="B58" s="53"/>
      <c r="C58" s="53"/>
      <c r="D58" s="54"/>
      <c r="E58" s="53"/>
      <c r="F58" s="53"/>
      <c r="G58" s="53"/>
      <c r="H58" s="53"/>
      <c r="I58" s="53"/>
    </row>
    <row r="59" spans="1:9">
      <c r="A59" s="53"/>
      <c r="B59" s="53"/>
      <c r="C59" s="53"/>
      <c r="D59" s="54"/>
      <c r="E59" s="53"/>
      <c r="F59" s="53"/>
      <c r="G59" s="53"/>
      <c r="H59" s="53"/>
      <c r="I59" s="53"/>
    </row>
    <row r="60" spans="1:9">
      <c r="A60" s="53"/>
      <c r="B60" s="53"/>
      <c r="C60" s="53"/>
      <c r="D60" s="54"/>
      <c r="E60" s="53"/>
      <c r="F60" s="53"/>
      <c r="G60" s="53"/>
      <c r="H60" s="53"/>
      <c r="I60" s="53"/>
    </row>
    <row r="61" spans="1:9">
      <c r="A61" s="53"/>
      <c r="B61" s="53"/>
      <c r="C61" s="53"/>
      <c r="D61" s="54"/>
      <c r="E61" s="53"/>
      <c r="F61" s="53"/>
      <c r="G61" s="53"/>
      <c r="H61" s="53"/>
      <c r="I61" s="53"/>
    </row>
    <row r="62" spans="1:9">
      <c r="A62" s="53"/>
      <c r="B62" s="53"/>
      <c r="C62" s="53"/>
      <c r="D62" s="54"/>
      <c r="E62" s="53"/>
      <c r="F62" s="53"/>
      <c r="G62" s="53"/>
      <c r="H62" s="53"/>
      <c r="I62" s="53"/>
    </row>
    <row r="63" spans="1:9">
      <c r="A63" s="53"/>
      <c r="B63" s="53"/>
      <c r="C63" s="53"/>
      <c r="D63" s="54"/>
      <c r="E63" s="53"/>
      <c r="F63" s="53"/>
      <c r="G63" s="53"/>
      <c r="H63" s="53"/>
      <c r="I63" s="53"/>
    </row>
    <row r="64" spans="1:9">
      <c r="A64" s="53"/>
      <c r="B64" s="53"/>
      <c r="C64" s="53"/>
      <c r="D64" s="54"/>
      <c r="E64" s="53"/>
      <c r="F64" s="53"/>
      <c r="G64" s="53"/>
      <c r="H64" s="53"/>
      <c r="I64" s="53"/>
    </row>
    <row r="65" spans="1:9">
      <c r="A65" s="53"/>
      <c r="B65" s="53"/>
      <c r="C65" s="53"/>
      <c r="D65" s="54"/>
      <c r="E65" s="53"/>
      <c r="F65" s="53"/>
      <c r="G65" s="53"/>
      <c r="H65" s="53"/>
      <c r="I65" s="53"/>
    </row>
    <row r="66" spans="1:9">
      <c r="A66" s="53"/>
      <c r="B66" s="53"/>
      <c r="C66" s="53"/>
      <c r="D66" s="54"/>
      <c r="E66" s="53"/>
      <c r="F66" s="53"/>
      <c r="G66" s="53"/>
      <c r="H66" s="53"/>
      <c r="I66" s="53"/>
    </row>
    <row r="67" spans="1:9">
      <c r="A67" s="53"/>
      <c r="B67" s="53"/>
      <c r="C67" s="53"/>
      <c r="D67" s="54"/>
      <c r="E67" s="53"/>
      <c r="F67" s="53"/>
      <c r="G67" s="53"/>
      <c r="H67" s="53"/>
      <c r="I67" s="53"/>
    </row>
    <row r="68" spans="1:9">
      <c r="A68" s="53"/>
      <c r="B68" s="53"/>
      <c r="C68" s="53"/>
      <c r="D68" s="54"/>
      <c r="E68" s="53"/>
      <c r="F68" s="53"/>
      <c r="G68" s="53"/>
      <c r="H68" s="53"/>
      <c r="I68" s="53"/>
    </row>
    <row r="69" spans="1:9">
      <c r="A69" s="53"/>
      <c r="B69" s="53"/>
      <c r="C69" s="53"/>
      <c r="D69" s="54"/>
      <c r="E69" s="53"/>
      <c r="F69" s="53"/>
      <c r="G69" s="53"/>
      <c r="H69" s="53"/>
      <c r="I69" s="53"/>
    </row>
    <row r="70" spans="1:9">
      <c r="A70" s="53"/>
      <c r="B70" s="53"/>
      <c r="C70" s="53"/>
      <c r="D70" s="54"/>
      <c r="E70" s="53"/>
      <c r="F70" s="53"/>
      <c r="G70" s="53"/>
      <c r="H70" s="53"/>
      <c r="I70" s="53"/>
    </row>
    <row r="71" spans="1:9">
      <c r="A71" s="53"/>
      <c r="B71" s="53"/>
      <c r="C71" s="53"/>
      <c r="D71" s="54"/>
      <c r="E71" s="53"/>
      <c r="F71" s="53"/>
      <c r="G71" s="53"/>
      <c r="H71" s="53"/>
      <c r="I71" s="53"/>
    </row>
    <row r="72" spans="1:9">
      <c r="A72" s="53"/>
      <c r="B72" s="53"/>
      <c r="C72" s="53"/>
      <c r="D72" s="54"/>
      <c r="E72" s="53"/>
      <c r="F72" s="53"/>
      <c r="G72" s="53"/>
      <c r="H72" s="53"/>
      <c r="I72" s="53"/>
    </row>
    <row r="73" spans="1:9">
      <c r="A73" s="53"/>
      <c r="B73" s="53"/>
      <c r="C73" s="53"/>
      <c r="D73" s="54"/>
      <c r="E73" s="53"/>
      <c r="F73" s="53"/>
      <c r="G73" s="53"/>
      <c r="H73" s="53"/>
      <c r="I73" s="53"/>
    </row>
    <row r="74" spans="1:9">
      <c r="A74" s="53"/>
      <c r="B74" s="53"/>
      <c r="C74" s="53"/>
      <c r="D74" s="54"/>
      <c r="E74" s="53"/>
      <c r="F74" s="53"/>
      <c r="G74" s="53"/>
      <c r="H74" s="53"/>
      <c r="I74" s="53"/>
    </row>
    <row r="75" spans="1:9">
      <c r="A75" s="53"/>
      <c r="B75" s="53"/>
      <c r="C75" s="53"/>
      <c r="D75" s="54"/>
      <c r="E75" s="53"/>
      <c r="F75" s="53"/>
      <c r="G75" s="53"/>
      <c r="H75" s="53"/>
      <c r="I75" s="53"/>
    </row>
    <row r="76" spans="1:9">
      <c r="A76" s="53"/>
      <c r="B76" s="53"/>
      <c r="C76" s="53"/>
      <c r="D76" s="54"/>
      <c r="E76" s="53"/>
      <c r="F76" s="53"/>
      <c r="G76" s="53"/>
      <c r="H76" s="53"/>
      <c r="I76" s="53"/>
    </row>
    <row r="77" spans="1:9">
      <c r="A77" s="53"/>
      <c r="B77" s="53"/>
      <c r="C77" s="53"/>
      <c r="D77" s="54"/>
      <c r="E77" s="53"/>
      <c r="F77" s="53"/>
      <c r="G77" s="53"/>
      <c r="H77" s="53"/>
      <c r="I77" s="53"/>
    </row>
    <row r="78" spans="1:9">
      <c r="A78" s="53"/>
      <c r="B78" s="53"/>
      <c r="C78" s="53"/>
      <c r="D78" s="54"/>
      <c r="E78" s="53"/>
      <c r="F78" s="53"/>
      <c r="G78" s="53"/>
      <c r="H78" s="53"/>
      <c r="I78" s="53"/>
    </row>
    <row r="79" spans="1:9">
      <c r="A79" s="53"/>
      <c r="B79" s="53"/>
      <c r="C79" s="53"/>
      <c r="D79" s="54"/>
      <c r="E79" s="53"/>
      <c r="F79" s="53"/>
      <c r="G79" s="53"/>
      <c r="H79" s="53"/>
      <c r="I79" s="53"/>
    </row>
    <row r="80" spans="1:9">
      <c r="A80" s="53"/>
      <c r="B80" s="53"/>
      <c r="C80" s="53"/>
      <c r="D80" s="54"/>
      <c r="E80" s="53"/>
      <c r="F80" s="53"/>
      <c r="G80" s="53"/>
      <c r="H80" s="53"/>
      <c r="I80" s="53"/>
    </row>
    <row r="81" spans="1:9">
      <c r="A81" s="53"/>
      <c r="B81" s="53"/>
      <c r="C81" s="53"/>
      <c r="D81" s="54"/>
      <c r="E81" s="53"/>
      <c r="F81" s="53"/>
      <c r="G81" s="53"/>
      <c r="H81" s="53"/>
      <c r="I81" s="53"/>
    </row>
    <row r="82" spans="1:9">
      <c r="A82" s="53"/>
      <c r="B82" s="53"/>
      <c r="C82" s="53"/>
      <c r="D82" s="54"/>
      <c r="E82" s="53"/>
      <c r="F82" s="53"/>
      <c r="G82" s="53"/>
      <c r="H82" s="53"/>
      <c r="I82" s="53"/>
    </row>
    <row r="83" spans="1:9">
      <c r="A83" s="53"/>
      <c r="B83" s="53"/>
      <c r="C83" s="53"/>
      <c r="D83" s="54"/>
      <c r="E83" s="53"/>
      <c r="F83" s="53"/>
      <c r="G83" s="53"/>
      <c r="H83" s="53"/>
      <c r="I83" s="53"/>
    </row>
    <row r="84" spans="1:9">
      <c r="A84" s="53"/>
      <c r="B84" s="53"/>
      <c r="C84" s="53"/>
      <c r="D84" s="54"/>
      <c r="E84" s="53"/>
      <c r="F84" s="53"/>
      <c r="G84" s="53"/>
      <c r="H84" s="53"/>
      <c r="I84" s="53"/>
    </row>
    <row r="85" spans="1:9">
      <c r="A85" s="53"/>
      <c r="B85" s="53"/>
      <c r="C85" s="53"/>
      <c r="D85" s="54"/>
      <c r="E85" s="53"/>
      <c r="F85" s="53"/>
      <c r="G85" s="53"/>
      <c r="H85" s="53"/>
      <c r="I85" s="53"/>
    </row>
    <row r="86" spans="1:9">
      <c r="A86" s="53"/>
      <c r="B86" s="53"/>
      <c r="C86" s="53"/>
      <c r="D86" s="54"/>
      <c r="E86" s="53"/>
      <c r="F86" s="53"/>
      <c r="G86" s="53"/>
      <c r="H86" s="53"/>
      <c r="I86" s="53"/>
    </row>
    <row r="87" spans="1:9">
      <c r="A87" s="53"/>
      <c r="B87" s="53"/>
      <c r="C87" s="53"/>
      <c r="D87" s="54"/>
      <c r="E87" s="53"/>
      <c r="F87" s="53"/>
      <c r="G87" s="53"/>
      <c r="H87" s="53"/>
      <c r="I87" s="53"/>
    </row>
    <row r="88" spans="1:9">
      <c r="A88" s="53"/>
      <c r="B88" s="53"/>
      <c r="C88" s="53"/>
      <c r="D88" s="54"/>
      <c r="E88" s="53"/>
      <c r="F88" s="53"/>
      <c r="G88" s="53"/>
      <c r="H88" s="53"/>
      <c r="I88" s="53"/>
    </row>
    <row r="89" spans="1:9">
      <c r="A89" s="53"/>
      <c r="B89" s="53"/>
      <c r="C89" s="53"/>
      <c r="D89" s="54"/>
      <c r="E89" s="53"/>
      <c r="F89" s="53"/>
      <c r="G89" s="53"/>
      <c r="H89" s="53"/>
      <c r="I89" s="53"/>
    </row>
    <row r="90" spans="1:9">
      <c r="A90" s="53"/>
      <c r="B90" s="53"/>
      <c r="C90" s="53"/>
      <c r="D90" s="54"/>
      <c r="E90" s="53"/>
      <c r="F90" s="53"/>
      <c r="G90" s="53"/>
      <c r="H90" s="53"/>
      <c r="I90" s="53"/>
    </row>
    <row r="91" spans="1:9">
      <c r="A91" s="53"/>
      <c r="B91" s="53"/>
      <c r="C91" s="53"/>
      <c r="D91" s="54"/>
      <c r="E91" s="53"/>
      <c r="F91" s="53"/>
      <c r="G91" s="53"/>
      <c r="H91" s="53"/>
      <c r="I91" s="53"/>
    </row>
    <row r="92" spans="1:9">
      <c r="A92" s="53"/>
      <c r="B92" s="53"/>
      <c r="C92" s="53"/>
      <c r="D92" s="54"/>
      <c r="E92" s="53"/>
      <c r="F92" s="53"/>
      <c r="G92" s="53"/>
      <c r="H92" s="53"/>
      <c r="I92" s="53"/>
    </row>
    <row r="93" spans="1:9">
      <c r="A93" s="53"/>
      <c r="B93" s="53"/>
      <c r="C93" s="53"/>
      <c r="D93" s="54"/>
      <c r="E93" s="53"/>
      <c r="F93" s="53"/>
      <c r="G93" s="53"/>
      <c r="H93" s="53"/>
      <c r="I93" s="53"/>
    </row>
    <row r="94" spans="1:9">
      <c r="A94" s="53"/>
      <c r="B94" s="53"/>
      <c r="C94" s="53"/>
      <c r="D94" s="54"/>
      <c r="E94" s="53"/>
      <c r="F94" s="53"/>
      <c r="G94" s="53"/>
      <c r="H94" s="53"/>
      <c r="I94" s="53"/>
    </row>
    <row r="95" spans="1:9">
      <c r="A95" s="53"/>
      <c r="B95" s="53"/>
      <c r="C95" s="53"/>
      <c r="D95" s="54"/>
      <c r="E95" s="53"/>
      <c r="F95" s="53"/>
      <c r="G95" s="53"/>
      <c r="H95" s="53"/>
      <c r="I95" s="53"/>
    </row>
    <row r="96" spans="1:9">
      <c r="A96" s="53"/>
      <c r="B96" s="53"/>
      <c r="C96" s="53"/>
      <c r="D96" s="54"/>
      <c r="E96" s="53"/>
      <c r="F96" s="53"/>
      <c r="G96" s="53"/>
      <c r="H96" s="53"/>
      <c r="I96" s="53"/>
    </row>
    <row r="97" spans="1:9">
      <c r="A97" s="53"/>
      <c r="B97" s="53"/>
      <c r="C97" s="53"/>
      <c r="D97" s="54"/>
      <c r="E97" s="53"/>
      <c r="F97" s="53"/>
      <c r="G97" s="53"/>
      <c r="H97" s="53"/>
      <c r="I97" s="53"/>
    </row>
    <row r="98" spans="1:9">
      <c r="A98" s="53"/>
      <c r="B98" s="53"/>
      <c r="C98" s="53"/>
      <c r="D98" s="54"/>
      <c r="E98" s="53"/>
      <c r="F98" s="53"/>
      <c r="G98" s="53"/>
      <c r="H98" s="53"/>
      <c r="I98" s="53"/>
    </row>
    <row r="99" spans="1:9">
      <c r="A99" s="53"/>
      <c r="B99" s="53"/>
      <c r="C99" s="53"/>
      <c r="D99" s="54"/>
      <c r="E99" s="53"/>
      <c r="F99" s="53"/>
      <c r="G99" s="53"/>
      <c r="H99" s="53"/>
      <c r="I99" s="53"/>
    </row>
    <row r="100" spans="1:9">
      <c r="A100" s="53"/>
      <c r="B100" s="53"/>
      <c r="C100" s="53"/>
      <c r="D100" s="54"/>
      <c r="E100" s="53"/>
      <c r="F100" s="53"/>
      <c r="G100" s="53"/>
      <c r="H100" s="53"/>
      <c r="I100" s="53"/>
    </row>
    <row r="101" spans="1:9">
      <c r="A101" s="53"/>
      <c r="B101" s="53"/>
      <c r="C101" s="53"/>
      <c r="D101" s="54"/>
      <c r="E101" s="53"/>
      <c r="F101" s="53"/>
      <c r="G101" s="53"/>
      <c r="H101" s="53"/>
      <c r="I101" s="53"/>
    </row>
    <row r="102" spans="1:9">
      <c r="A102" s="53"/>
      <c r="B102" s="53"/>
      <c r="C102" s="53"/>
      <c r="D102" s="54"/>
      <c r="E102" s="53"/>
      <c r="F102" s="53"/>
      <c r="G102" s="53"/>
      <c r="H102" s="53"/>
      <c r="I102" s="53"/>
    </row>
    <row r="103" spans="1:9">
      <c r="A103" s="53"/>
      <c r="B103" s="53"/>
      <c r="C103" s="53"/>
      <c r="D103" s="54"/>
      <c r="E103" s="53"/>
      <c r="F103" s="53"/>
      <c r="G103" s="53"/>
      <c r="H103" s="53"/>
      <c r="I103" s="53"/>
    </row>
    <row r="104" spans="1:9">
      <c r="A104" s="53"/>
      <c r="B104" s="53"/>
      <c r="C104" s="53"/>
      <c r="D104" s="54"/>
      <c r="E104" s="53"/>
      <c r="F104" s="53"/>
      <c r="G104" s="53"/>
      <c r="H104" s="53"/>
      <c r="I104" s="53"/>
    </row>
    <row r="105" spans="1:9">
      <c r="A105" s="53"/>
      <c r="B105" s="53"/>
      <c r="C105" s="53"/>
      <c r="D105" s="54"/>
      <c r="E105" s="53"/>
      <c r="F105" s="53"/>
      <c r="G105" s="53"/>
      <c r="H105" s="53"/>
      <c r="I105" s="53"/>
    </row>
    <row r="106" spans="1:9">
      <c r="A106" s="53"/>
      <c r="B106" s="53"/>
      <c r="C106" s="53"/>
      <c r="D106" s="54"/>
      <c r="E106" s="53"/>
      <c r="F106" s="53"/>
      <c r="G106" s="53"/>
      <c r="H106" s="53"/>
      <c r="I106" s="53"/>
    </row>
    <row r="107" spans="1:9">
      <c r="A107" s="53"/>
      <c r="B107" s="53"/>
      <c r="C107" s="53"/>
      <c r="D107" s="54"/>
      <c r="E107" s="53"/>
      <c r="F107" s="53"/>
      <c r="G107" s="53"/>
      <c r="H107" s="53"/>
      <c r="I107" s="53"/>
    </row>
    <row r="108" spans="1:9">
      <c r="A108" s="53"/>
      <c r="B108" s="53"/>
      <c r="C108" s="53"/>
      <c r="D108" s="54"/>
      <c r="E108" s="53"/>
      <c r="F108" s="53"/>
      <c r="G108" s="53"/>
      <c r="H108" s="53"/>
      <c r="I108" s="53"/>
    </row>
    <row r="109" spans="1:9">
      <c r="A109" s="53"/>
      <c r="B109" s="53"/>
      <c r="C109" s="53"/>
      <c r="D109" s="54"/>
      <c r="E109" s="53"/>
      <c r="F109" s="53"/>
      <c r="G109" s="53"/>
      <c r="H109" s="53"/>
      <c r="I109" s="53"/>
    </row>
    <row r="110" spans="1:9">
      <c r="A110" s="53"/>
      <c r="B110" s="53"/>
      <c r="C110" s="53"/>
      <c r="D110" s="54"/>
      <c r="E110" s="53"/>
      <c r="F110" s="53"/>
      <c r="G110" s="53"/>
      <c r="H110" s="53"/>
      <c r="I110" s="53"/>
    </row>
    <row r="111" spans="1:9">
      <c r="A111" s="53"/>
      <c r="B111" s="53"/>
      <c r="C111" s="53"/>
      <c r="D111" s="54"/>
      <c r="E111" s="53"/>
      <c r="F111" s="53"/>
      <c r="G111" s="53"/>
      <c r="H111" s="53"/>
      <c r="I111" s="53"/>
    </row>
    <row r="112" spans="1:9">
      <c r="A112" s="53"/>
      <c r="B112" s="53"/>
      <c r="C112" s="53"/>
      <c r="D112" s="54"/>
      <c r="E112" s="53"/>
      <c r="F112" s="53"/>
      <c r="G112" s="53"/>
      <c r="H112" s="53"/>
      <c r="I112" s="53"/>
    </row>
    <row r="113" spans="1:9">
      <c r="A113" s="53"/>
      <c r="B113" s="53"/>
      <c r="C113" s="53"/>
      <c r="D113" s="54"/>
      <c r="E113" s="53"/>
      <c r="F113" s="53"/>
      <c r="G113" s="53"/>
      <c r="H113" s="53"/>
      <c r="I113" s="53"/>
    </row>
    <row r="114" spans="1:9">
      <c r="A114" s="53"/>
      <c r="B114" s="53"/>
      <c r="C114" s="53"/>
      <c r="D114" s="54"/>
      <c r="E114" s="53"/>
      <c r="F114" s="53"/>
      <c r="G114" s="53"/>
      <c r="H114" s="53"/>
      <c r="I114" s="53"/>
    </row>
    <row r="115" spans="1:9">
      <c r="A115" s="53"/>
      <c r="B115" s="53"/>
      <c r="C115" s="53"/>
      <c r="D115" s="54"/>
      <c r="E115" s="53"/>
      <c r="F115" s="53"/>
      <c r="G115" s="53"/>
      <c r="H115" s="53"/>
      <c r="I115" s="53"/>
    </row>
    <row r="116" spans="1:9">
      <c r="A116" s="53"/>
      <c r="B116" s="53"/>
      <c r="C116" s="53"/>
      <c r="D116" s="54"/>
      <c r="E116" s="53"/>
      <c r="F116" s="53"/>
      <c r="G116" s="53"/>
      <c r="H116" s="53"/>
      <c r="I116" s="53"/>
    </row>
    <row r="117" spans="1:9">
      <c r="A117" s="53"/>
      <c r="B117" s="53"/>
      <c r="C117" s="53"/>
      <c r="D117" s="54"/>
      <c r="E117" s="53"/>
      <c r="F117" s="53"/>
      <c r="G117" s="53"/>
      <c r="H117" s="53"/>
      <c r="I117" s="53"/>
    </row>
    <row r="118" spans="1:9">
      <c r="A118" s="53"/>
      <c r="B118" s="53"/>
      <c r="C118" s="53"/>
      <c r="D118" s="54"/>
      <c r="E118" s="53"/>
      <c r="F118" s="53"/>
      <c r="G118" s="53"/>
      <c r="H118" s="53"/>
      <c r="I118" s="53"/>
    </row>
    <row r="119" spans="1:9">
      <c r="A119" s="53"/>
      <c r="B119" s="53"/>
      <c r="C119" s="53"/>
      <c r="D119" s="54"/>
      <c r="E119" s="53"/>
      <c r="F119" s="53"/>
      <c r="G119" s="53"/>
      <c r="H119" s="53"/>
      <c r="I119" s="53"/>
    </row>
    <row r="120" spans="1:9">
      <c r="A120" s="53"/>
      <c r="B120" s="53"/>
      <c r="C120" s="53"/>
      <c r="D120" s="54"/>
      <c r="E120" s="53"/>
      <c r="F120" s="53"/>
      <c r="G120" s="53"/>
      <c r="H120" s="53"/>
      <c r="I120" s="53"/>
    </row>
    <row r="121" spans="1:9">
      <c r="A121" s="53"/>
      <c r="B121" s="53"/>
      <c r="C121" s="53"/>
      <c r="D121" s="54"/>
      <c r="E121" s="53"/>
      <c r="F121" s="53"/>
      <c r="G121" s="53"/>
      <c r="H121" s="53"/>
      <c r="I121" s="53"/>
    </row>
    <row r="122" spans="1:9">
      <c r="A122" s="53"/>
      <c r="B122" s="53"/>
      <c r="C122" s="53"/>
      <c r="D122" s="54"/>
      <c r="E122" s="53"/>
      <c r="F122" s="53"/>
      <c r="G122" s="53"/>
      <c r="H122" s="53"/>
      <c r="I122" s="53"/>
    </row>
    <row r="123" spans="1:9">
      <c r="A123" s="53"/>
      <c r="B123" s="53"/>
      <c r="C123" s="53"/>
      <c r="D123" s="54"/>
      <c r="E123" s="53"/>
      <c r="F123" s="53"/>
      <c r="G123" s="53"/>
      <c r="H123" s="53"/>
      <c r="I123" s="53"/>
    </row>
    <row r="124" spans="1:9">
      <c r="A124" s="53"/>
      <c r="B124" s="53"/>
      <c r="C124" s="53"/>
      <c r="D124" s="54"/>
      <c r="E124" s="53"/>
      <c r="F124" s="53"/>
      <c r="G124" s="53"/>
      <c r="H124" s="53"/>
      <c r="I124" s="53"/>
    </row>
    <row r="125" spans="1:9">
      <c r="A125" s="53"/>
      <c r="B125" s="53"/>
      <c r="C125" s="53"/>
      <c r="D125" s="54"/>
      <c r="E125" s="53"/>
      <c r="F125" s="53"/>
      <c r="G125" s="53"/>
      <c r="H125" s="53"/>
      <c r="I125" s="53"/>
    </row>
    <row r="126" spans="1:9">
      <c r="A126" s="53"/>
      <c r="B126" s="53"/>
      <c r="C126" s="53"/>
      <c r="D126" s="54"/>
      <c r="E126" s="53"/>
      <c r="F126" s="53"/>
      <c r="G126" s="53"/>
      <c r="H126" s="53"/>
      <c r="I126" s="53"/>
    </row>
    <row r="127" spans="1:9">
      <c r="A127" s="53"/>
      <c r="B127" s="53"/>
      <c r="C127" s="53"/>
      <c r="D127" s="54"/>
      <c r="E127" s="53"/>
      <c r="F127" s="53"/>
      <c r="G127" s="53"/>
      <c r="H127" s="53"/>
      <c r="I127" s="53"/>
    </row>
    <row r="128" spans="1:9">
      <c r="A128" s="53"/>
      <c r="B128" s="53"/>
      <c r="C128" s="53"/>
      <c r="D128" s="54"/>
      <c r="E128" s="53"/>
      <c r="F128" s="53"/>
      <c r="G128" s="53"/>
      <c r="H128" s="53"/>
      <c r="I128" s="53"/>
    </row>
    <row r="129" spans="1:9">
      <c r="A129" s="53"/>
      <c r="B129" s="53"/>
      <c r="C129" s="53"/>
      <c r="D129" s="54"/>
      <c r="E129" s="53"/>
      <c r="F129" s="53"/>
      <c r="G129" s="53"/>
      <c r="H129" s="53"/>
      <c r="I129" s="53"/>
    </row>
    <row r="130" spans="1:9">
      <c r="A130" s="53"/>
      <c r="B130" s="53"/>
      <c r="C130" s="53"/>
      <c r="D130" s="54"/>
      <c r="E130" s="53"/>
      <c r="F130" s="53"/>
      <c r="G130" s="53"/>
      <c r="H130" s="53"/>
      <c r="I130" s="53"/>
    </row>
    <row r="131" spans="1:9">
      <c r="A131" s="53"/>
      <c r="B131" s="53"/>
      <c r="C131" s="53"/>
      <c r="D131" s="54"/>
      <c r="E131" s="53"/>
      <c r="F131" s="53"/>
      <c r="G131" s="53"/>
      <c r="H131" s="53"/>
      <c r="I131" s="53"/>
    </row>
    <row r="132" spans="1:9">
      <c r="A132" s="53"/>
      <c r="B132" s="53"/>
      <c r="C132" s="53"/>
      <c r="D132" s="54"/>
      <c r="E132" s="53"/>
      <c r="F132" s="53"/>
      <c r="G132" s="53"/>
      <c r="H132" s="53"/>
      <c r="I132" s="53"/>
    </row>
    <row r="133" spans="1:9">
      <c r="A133" s="53"/>
      <c r="B133" s="53"/>
      <c r="C133" s="53"/>
      <c r="D133" s="54"/>
      <c r="E133" s="53"/>
      <c r="F133" s="53"/>
      <c r="G133" s="53"/>
      <c r="H133" s="53"/>
      <c r="I133" s="53"/>
    </row>
    <row r="134" spans="1:9">
      <c r="A134" s="53"/>
      <c r="B134" s="53"/>
      <c r="C134" s="53"/>
      <c r="D134" s="54"/>
      <c r="E134" s="53"/>
      <c r="F134" s="53"/>
      <c r="G134" s="53"/>
      <c r="H134" s="53"/>
      <c r="I134" s="53"/>
    </row>
    <row r="135" spans="1:9">
      <c r="A135" s="53"/>
      <c r="B135" s="53"/>
      <c r="C135" s="53"/>
      <c r="D135" s="54"/>
      <c r="E135" s="53"/>
      <c r="F135" s="53"/>
      <c r="G135" s="53"/>
      <c r="H135" s="53"/>
      <c r="I135" s="53"/>
    </row>
    <row r="136" spans="1:9">
      <c r="A136" s="53"/>
      <c r="B136" s="53"/>
      <c r="C136" s="53"/>
      <c r="D136" s="54"/>
      <c r="E136" s="53"/>
      <c r="F136" s="53"/>
      <c r="G136" s="53"/>
      <c r="H136" s="53"/>
      <c r="I136" s="53"/>
    </row>
    <row r="137" spans="1:9">
      <c r="A137" s="53"/>
      <c r="B137" s="53"/>
      <c r="C137" s="53"/>
      <c r="D137" s="54"/>
      <c r="E137" s="53"/>
      <c r="F137" s="53"/>
      <c r="G137" s="53"/>
      <c r="H137" s="53"/>
      <c r="I137" s="53"/>
    </row>
    <row r="138" spans="1:9">
      <c r="A138" s="53"/>
      <c r="B138" s="53"/>
      <c r="C138" s="53"/>
      <c r="D138" s="54"/>
      <c r="E138" s="53"/>
      <c r="F138" s="53"/>
      <c r="G138" s="53"/>
      <c r="H138" s="53"/>
      <c r="I138" s="53"/>
    </row>
    <row r="139" spans="1:9">
      <c r="A139" s="53"/>
      <c r="B139" s="53"/>
      <c r="C139" s="53"/>
      <c r="D139" s="54"/>
      <c r="E139" s="53"/>
      <c r="F139" s="53"/>
      <c r="G139" s="53"/>
      <c r="H139" s="53"/>
      <c r="I139" s="53"/>
    </row>
    <row r="140" spans="1:9">
      <c r="A140" s="53"/>
      <c r="B140" s="53"/>
      <c r="C140" s="53"/>
      <c r="D140" s="54"/>
      <c r="E140" s="53"/>
      <c r="F140" s="53"/>
      <c r="G140" s="53"/>
      <c r="H140" s="53"/>
      <c r="I140" s="53"/>
    </row>
    <row r="141" spans="1:9">
      <c r="A141" s="53"/>
      <c r="B141" s="53"/>
      <c r="C141" s="53"/>
      <c r="D141" s="54"/>
      <c r="E141" s="53"/>
      <c r="F141" s="53"/>
      <c r="G141" s="53"/>
      <c r="H141" s="53"/>
      <c r="I141" s="53"/>
    </row>
    <row r="142" spans="1:9">
      <c r="A142" s="53"/>
      <c r="B142" s="53"/>
      <c r="C142" s="53"/>
      <c r="D142" s="54"/>
      <c r="E142" s="53"/>
      <c r="F142" s="53"/>
      <c r="G142" s="53"/>
      <c r="H142" s="53"/>
      <c r="I142" s="53"/>
    </row>
    <row r="143" spans="1:9">
      <c r="A143" s="53"/>
      <c r="B143" s="53"/>
      <c r="C143" s="53"/>
      <c r="D143" s="54"/>
      <c r="E143" s="53"/>
      <c r="F143" s="53"/>
      <c r="G143" s="53"/>
      <c r="H143" s="53"/>
      <c r="I143" s="53"/>
    </row>
    <row r="144" spans="1:9">
      <c r="A144" s="53"/>
      <c r="B144" s="53"/>
      <c r="C144" s="53"/>
      <c r="D144" s="54"/>
      <c r="E144" s="53"/>
      <c r="F144" s="53"/>
      <c r="G144" s="53"/>
      <c r="H144" s="53"/>
      <c r="I144" s="53"/>
    </row>
    <row r="145" spans="1:9">
      <c r="A145" s="53"/>
      <c r="B145" s="53"/>
      <c r="C145" s="53"/>
      <c r="D145" s="54"/>
      <c r="E145" s="53"/>
      <c r="F145" s="53"/>
      <c r="G145" s="53"/>
      <c r="H145" s="53"/>
      <c r="I145" s="53"/>
    </row>
    <row r="146" spans="1:9">
      <c r="A146" s="53"/>
      <c r="B146" s="53"/>
      <c r="C146" s="53"/>
      <c r="D146" s="54"/>
      <c r="E146" s="53"/>
      <c r="F146" s="53"/>
      <c r="G146" s="53"/>
      <c r="H146" s="53"/>
      <c r="I146" s="53"/>
    </row>
    <row r="147" spans="1:9">
      <c r="A147" s="53"/>
      <c r="B147" s="53"/>
      <c r="C147" s="53"/>
      <c r="D147" s="54"/>
      <c r="E147" s="53"/>
      <c r="F147" s="53"/>
      <c r="G147" s="53"/>
      <c r="H147" s="53"/>
      <c r="I147" s="53"/>
    </row>
    <row r="148" spans="1:9">
      <c r="A148" s="53"/>
      <c r="B148" s="53"/>
      <c r="C148" s="53"/>
      <c r="D148" s="54"/>
      <c r="E148" s="53"/>
      <c r="F148" s="53"/>
      <c r="G148" s="53"/>
      <c r="H148" s="53"/>
      <c r="I148" s="53"/>
    </row>
    <row r="149" spans="1:9">
      <c r="A149" s="53"/>
      <c r="B149" s="53"/>
      <c r="C149" s="53"/>
      <c r="D149" s="54"/>
      <c r="E149" s="53"/>
      <c r="F149" s="53"/>
      <c r="G149" s="53"/>
      <c r="H149" s="53"/>
      <c r="I149" s="53"/>
    </row>
    <row r="150" spans="1:9">
      <c r="A150" s="53"/>
      <c r="B150" s="53"/>
      <c r="C150" s="53"/>
      <c r="D150" s="54"/>
      <c r="E150" s="53"/>
      <c r="F150" s="53"/>
      <c r="G150" s="53"/>
      <c r="H150" s="53"/>
      <c r="I150" s="53"/>
    </row>
    <row r="151" spans="1:9">
      <c r="A151" s="53"/>
      <c r="B151" s="53"/>
      <c r="C151" s="53"/>
      <c r="D151" s="54"/>
      <c r="E151" s="53"/>
      <c r="F151" s="53"/>
      <c r="G151" s="53"/>
      <c r="H151" s="53"/>
      <c r="I151" s="53"/>
    </row>
    <row r="152" spans="1:9">
      <c r="A152" s="53"/>
      <c r="B152" s="53"/>
      <c r="C152" s="53"/>
      <c r="D152" s="54"/>
      <c r="E152" s="53"/>
      <c r="F152" s="53"/>
      <c r="G152" s="53"/>
      <c r="H152" s="53"/>
      <c r="I152" s="53"/>
    </row>
    <row r="153" spans="1:9">
      <c r="A153" s="53"/>
      <c r="B153" s="53"/>
      <c r="C153" s="53"/>
      <c r="D153" s="54"/>
      <c r="E153" s="53"/>
      <c r="F153" s="53"/>
      <c r="G153" s="53"/>
      <c r="H153" s="53"/>
      <c r="I153" s="53"/>
    </row>
    <row r="154" spans="1:9">
      <c r="A154" s="53"/>
      <c r="B154" s="53"/>
      <c r="C154" s="53"/>
      <c r="D154" s="54"/>
      <c r="E154" s="53"/>
      <c r="F154" s="53"/>
      <c r="G154" s="53"/>
      <c r="H154" s="53"/>
      <c r="I154" s="53"/>
    </row>
    <row r="155" spans="1:9">
      <c r="A155" s="53"/>
      <c r="B155" s="53"/>
      <c r="C155" s="53"/>
      <c r="D155" s="54"/>
      <c r="E155" s="53"/>
      <c r="F155" s="53"/>
      <c r="G155" s="53"/>
      <c r="H155" s="53"/>
      <c r="I155" s="53"/>
    </row>
    <row r="156" spans="1:9">
      <c r="A156" s="53"/>
      <c r="B156" s="53"/>
      <c r="C156" s="53"/>
      <c r="D156" s="54"/>
      <c r="E156" s="53"/>
      <c r="F156" s="53"/>
      <c r="G156" s="53"/>
      <c r="H156" s="53"/>
      <c r="I156" s="53"/>
    </row>
    <row r="157" spans="1:9">
      <c r="A157" s="53"/>
      <c r="B157" s="53"/>
      <c r="C157" s="53"/>
      <c r="D157" s="54"/>
      <c r="E157" s="53"/>
      <c r="F157" s="53"/>
      <c r="G157" s="53"/>
      <c r="H157" s="53"/>
      <c r="I157" s="53"/>
    </row>
    <row r="158" spans="1:9">
      <c r="A158" s="53"/>
      <c r="B158" s="53"/>
      <c r="C158" s="53"/>
      <c r="D158" s="54"/>
      <c r="E158" s="53"/>
      <c r="F158" s="53"/>
      <c r="G158" s="53"/>
      <c r="H158" s="53"/>
      <c r="I158" s="53"/>
    </row>
    <row r="159" spans="1:9">
      <c r="A159" s="53"/>
      <c r="B159" s="53"/>
      <c r="C159" s="53"/>
      <c r="D159" s="54"/>
      <c r="E159" s="53"/>
      <c r="F159" s="53"/>
      <c r="G159" s="53"/>
      <c r="H159" s="53"/>
      <c r="I159" s="53"/>
    </row>
    <row r="160" spans="1:9">
      <c r="A160" s="53"/>
      <c r="B160" s="53"/>
      <c r="C160" s="53"/>
      <c r="D160" s="54"/>
      <c r="E160" s="53"/>
      <c r="F160" s="53"/>
      <c r="G160" s="53"/>
      <c r="H160" s="53"/>
      <c r="I160" s="53"/>
    </row>
    <row r="161" spans="1:9">
      <c r="A161" s="53"/>
      <c r="B161" s="53"/>
      <c r="C161" s="53"/>
      <c r="D161" s="54"/>
      <c r="E161" s="53"/>
      <c r="F161" s="53"/>
      <c r="G161" s="53"/>
      <c r="H161" s="53"/>
      <c r="I161" s="53"/>
    </row>
    <row r="162" spans="1:9">
      <c r="A162" s="53"/>
      <c r="B162" s="53"/>
      <c r="C162" s="53"/>
      <c r="D162" s="54"/>
      <c r="E162" s="53"/>
      <c r="F162" s="53"/>
      <c r="G162" s="53"/>
      <c r="H162" s="53"/>
      <c r="I162" s="53"/>
    </row>
    <row r="163" spans="1:9">
      <c r="A163" s="53"/>
      <c r="B163" s="53"/>
      <c r="C163" s="53"/>
      <c r="D163" s="54"/>
      <c r="E163" s="53"/>
      <c r="F163" s="53"/>
      <c r="G163" s="53"/>
      <c r="H163" s="53"/>
      <c r="I163" s="53"/>
    </row>
    <row r="164" spans="1:9">
      <c r="A164" s="53"/>
      <c r="B164" s="53"/>
      <c r="C164" s="53"/>
      <c r="D164" s="54"/>
      <c r="E164" s="53"/>
      <c r="F164" s="53"/>
      <c r="G164" s="53"/>
      <c r="H164" s="53"/>
      <c r="I164" s="53"/>
    </row>
    <row r="165" spans="1:9">
      <c r="A165" s="53"/>
      <c r="B165" s="53"/>
      <c r="C165" s="53"/>
      <c r="D165" s="54"/>
      <c r="E165" s="53"/>
      <c r="F165" s="53"/>
      <c r="G165" s="53"/>
      <c r="H165" s="53"/>
      <c r="I165" s="53"/>
    </row>
    <row r="166" spans="1:9">
      <c r="A166" s="53"/>
      <c r="B166" s="53"/>
      <c r="C166" s="53"/>
      <c r="D166" s="54"/>
      <c r="E166" s="53"/>
      <c r="F166" s="53"/>
      <c r="G166" s="53"/>
      <c r="H166" s="53"/>
      <c r="I166" s="53"/>
    </row>
    <row r="167" spans="1:9">
      <c r="A167" s="53"/>
      <c r="B167" s="53"/>
      <c r="C167" s="53"/>
      <c r="D167" s="54"/>
      <c r="E167" s="53"/>
      <c r="F167" s="53"/>
      <c r="G167" s="53"/>
      <c r="H167" s="53"/>
      <c r="I167" s="53"/>
    </row>
    <row r="168" spans="1:9">
      <c r="A168" s="53"/>
      <c r="B168" s="53"/>
      <c r="C168" s="53"/>
      <c r="D168" s="54"/>
      <c r="E168" s="53"/>
      <c r="F168" s="53"/>
      <c r="G168" s="53"/>
      <c r="H168" s="53"/>
      <c r="I168" s="53"/>
    </row>
    <row r="169" spans="1:9">
      <c r="A169" s="53"/>
      <c r="B169" s="53"/>
      <c r="C169" s="53"/>
      <c r="D169" s="54"/>
      <c r="E169" s="53"/>
      <c r="F169" s="53"/>
      <c r="G169" s="53"/>
      <c r="H169" s="53"/>
      <c r="I169" s="53"/>
    </row>
    <row r="170" spans="1:9">
      <c r="A170" s="53"/>
      <c r="B170" s="53"/>
      <c r="C170" s="53"/>
      <c r="D170" s="54"/>
      <c r="E170" s="53"/>
      <c r="F170" s="53"/>
      <c r="G170" s="53"/>
      <c r="H170" s="53"/>
      <c r="I170" s="53"/>
    </row>
    <row r="171" spans="1:9">
      <c r="A171" s="53"/>
      <c r="B171" s="53"/>
      <c r="C171" s="53"/>
      <c r="D171" s="54"/>
      <c r="E171" s="53"/>
      <c r="F171" s="53"/>
      <c r="G171" s="53"/>
      <c r="H171" s="53"/>
      <c r="I171" s="53"/>
    </row>
    <row r="172" spans="1:9">
      <c r="A172" s="53"/>
      <c r="B172" s="53"/>
      <c r="C172" s="53"/>
      <c r="D172" s="54"/>
      <c r="E172" s="53"/>
      <c r="F172" s="53"/>
      <c r="G172" s="53"/>
      <c r="H172" s="53"/>
      <c r="I172" s="53"/>
    </row>
    <row r="173" spans="1:9">
      <c r="A173" s="53"/>
      <c r="B173" s="53"/>
      <c r="C173" s="53"/>
      <c r="D173" s="54"/>
      <c r="E173" s="53"/>
      <c r="F173" s="53"/>
      <c r="G173" s="53"/>
      <c r="H173" s="53"/>
      <c r="I173" s="53"/>
    </row>
    <row r="174" spans="1:9">
      <c r="A174" s="53"/>
      <c r="B174" s="53"/>
      <c r="C174" s="53"/>
      <c r="D174" s="54"/>
      <c r="E174" s="53"/>
      <c r="F174" s="53"/>
      <c r="G174" s="53"/>
      <c r="H174" s="53"/>
      <c r="I174" s="53"/>
    </row>
    <row r="175" spans="1:9">
      <c r="A175" s="53"/>
      <c r="B175" s="53"/>
      <c r="C175" s="53"/>
      <c r="D175" s="54"/>
      <c r="E175" s="53"/>
      <c r="F175" s="53"/>
      <c r="G175" s="53"/>
      <c r="H175" s="53"/>
      <c r="I175" s="53"/>
    </row>
    <row r="176" spans="1:9">
      <c r="A176" s="53"/>
      <c r="B176" s="53"/>
      <c r="C176" s="53"/>
      <c r="D176" s="54"/>
      <c r="E176" s="53"/>
      <c r="F176" s="53"/>
      <c r="G176" s="53"/>
      <c r="H176" s="53"/>
      <c r="I176" s="53"/>
    </row>
    <row r="177" spans="1:9">
      <c r="A177" s="53"/>
      <c r="B177" s="53"/>
      <c r="C177" s="53"/>
      <c r="D177" s="54"/>
      <c r="E177" s="53"/>
      <c r="F177" s="53"/>
      <c r="G177" s="53"/>
      <c r="H177" s="53"/>
      <c r="I177" s="53"/>
    </row>
    <row r="178" spans="1:9">
      <c r="A178" s="53"/>
      <c r="B178" s="53"/>
      <c r="C178" s="53"/>
      <c r="D178" s="54"/>
      <c r="E178" s="53"/>
      <c r="F178" s="53"/>
      <c r="G178" s="53"/>
      <c r="H178" s="53"/>
      <c r="I178" s="53"/>
    </row>
    <row r="179" spans="1:9">
      <c r="A179" s="53"/>
      <c r="B179" s="53"/>
      <c r="C179" s="53"/>
      <c r="D179" s="54"/>
      <c r="E179" s="53"/>
      <c r="F179" s="53"/>
      <c r="G179" s="53"/>
      <c r="H179" s="53"/>
      <c r="I179" s="53"/>
    </row>
    <row r="180" spans="1:9">
      <c r="A180" s="53"/>
      <c r="B180" s="53"/>
      <c r="C180" s="53"/>
      <c r="D180" s="54"/>
      <c r="E180" s="53"/>
      <c r="F180" s="53"/>
      <c r="G180" s="53"/>
      <c r="H180" s="53"/>
      <c r="I180" s="53"/>
    </row>
    <row r="181" spans="1:9">
      <c r="A181" s="53"/>
      <c r="B181" s="53"/>
      <c r="C181" s="53"/>
      <c r="D181" s="54"/>
      <c r="E181" s="53"/>
      <c r="F181" s="53"/>
      <c r="G181" s="53"/>
      <c r="H181" s="53"/>
      <c r="I181" s="53"/>
    </row>
    <row r="182" spans="1:9">
      <c r="A182" s="53"/>
      <c r="B182" s="53"/>
      <c r="C182" s="53"/>
      <c r="D182" s="54"/>
      <c r="E182" s="53"/>
      <c r="F182" s="53"/>
      <c r="G182" s="53"/>
      <c r="H182" s="53"/>
      <c r="I182" s="53"/>
    </row>
    <row r="183" spans="1:9">
      <c r="A183" s="53"/>
      <c r="B183" s="53"/>
      <c r="C183" s="53"/>
      <c r="D183" s="54"/>
      <c r="E183" s="53"/>
      <c r="F183" s="53"/>
      <c r="G183" s="53"/>
      <c r="H183" s="53"/>
      <c r="I183" s="53"/>
    </row>
    <row r="184" spans="1:9">
      <c r="A184" s="53"/>
      <c r="B184" s="53"/>
      <c r="C184" s="53"/>
      <c r="D184" s="54"/>
      <c r="E184" s="53"/>
      <c r="F184" s="53"/>
      <c r="G184" s="53"/>
      <c r="H184" s="53"/>
      <c r="I184" s="53"/>
    </row>
    <row r="185" spans="1:9">
      <c r="A185" s="53"/>
      <c r="B185" s="53"/>
      <c r="C185" s="53"/>
      <c r="D185" s="54"/>
      <c r="E185" s="53"/>
      <c r="F185" s="53"/>
      <c r="G185" s="53"/>
      <c r="H185" s="53"/>
      <c r="I185" s="53"/>
    </row>
    <row r="186" spans="1:9">
      <c r="A186" s="53"/>
      <c r="B186" s="53"/>
      <c r="C186" s="53"/>
      <c r="D186" s="54"/>
      <c r="E186" s="53"/>
      <c r="F186" s="53"/>
      <c r="G186" s="53"/>
      <c r="H186" s="53"/>
      <c r="I186" s="53"/>
    </row>
    <row r="187" spans="1:9">
      <c r="A187" s="53"/>
      <c r="B187" s="53"/>
      <c r="C187" s="53"/>
      <c r="D187" s="54"/>
      <c r="E187" s="53"/>
      <c r="F187" s="53"/>
      <c r="G187" s="53"/>
      <c r="H187" s="53"/>
      <c r="I187" s="53"/>
    </row>
    <row r="188" spans="1:9">
      <c r="A188" s="53"/>
      <c r="B188" s="53"/>
      <c r="C188" s="53"/>
      <c r="D188" s="54"/>
      <c r="E188" s="53"/>
      <c r="F188" s="53"/>
      <c r="G188" s="53"/>
      <c r="H188" s="53"/>
      <c r="I188" s="53"/>
    </row>
    <row r="189" spans="1:9">
      <c r="A189" s="53"/>
      <c r="B189" s="53"/>
      <c r="C189" s="53"/>
      <c r="D189" s="54"/>
      <c r="E189" s="53"/>
      <c r="F189" s="53"/>
      <c r="G189" s="53"/>
      <c r="H189" s="53"/>
      <c r="I189" s="53"/>
    </row>
    <row r="190" spans="1:9">
      <c r="A190" s="53"/>
      <c r="B190" s="53"/>
      <c r="C190" s="53"/>
      <c r="D190" s="54"/>
      <c r="E190" s="53"/>
      <c r="F190" s="53"/>
      <c r="G190" s="53"/>
      <c r="H190" s="53"/>
      <c r="I190" s="53"/>
    </row>
    <row r="191" spans="1:9">
      <c r="A191" s="53"/>
      <c r="B191" s="53"/>
      <c r="C191" s="53"/>
      <c r="D191" s="54"/>
      <c r="E191" s="53"/>
      <c r="F191" s="53"/>
      <c r="G191" s="53"/>
      <c r="H191" s="53"/>
      <c r="I191" s="53"/>
    </row>
    <row r="192" spans="1:9">
      <c r="A192" s="53"/>
      <c r="B192" s="53"/>
      <c r="C192" s="53"/>
      <c r="D192" s="54"/>
      <c r="E192" s="53"/>
      <c r="F192" s="53"/>
      <c r="G192" s="53"/>
      <c r="H192" s="53"/>
      <c r="I192" s="53"/>
    </row>
    <row r="193" spans="1:9">
      <c r="A193" s="53"/>
      <c r="B193" s="53"/>
      <c r="C193" s="53"/>
      <c r="D193" s="54"/>
      <c r="E193" s="53"/>
      <c r="F193" s="53"/>
      <c r="G193" s="53"/>
      <c r="H193" s="53"/>
      <c r="I193" s="53"/>
    </row>
    <row r="194" spans="1:9">
      <c r="A194" s="53"/>
      <c r="B194" s="53"/>
      <c r="C194" s="53"/>
      <c r="D194" s="54"/>
      <c r="E194" s="53"/>
      <c r="F194" s="53"/>
      <c r="G194" s="53"/>
      <c r="H194" s="53"/>
      <c r="I194" s="53"/>
    </row>
    <row r="195" spans="1:9">
      <c r="A195" s="53"/>
      <c r="B195" s="53"/>
      <c r="C195" s="53"/>
      <c r="D195" s="54"/>
      <c r="E195" s="53"/>
      <c r="F195" s="53"/>
      <c r="G195" s="53"/>
      <c r="H195" s="53"/>
      <c r="I195" s="53"/>
    </row>
    <row r="196" spans="1:9">
      <c r="A196" s="53"/>
      <c r="B196" s="53"/>
      <c r="C196" s="53"/>
      <c r="D196" s="54"/>
      <c r="E196" s="53"/>
      <c r="F196" s="53"/>
      <c r="G196" s="53"/>
      <c r="H196" s="53"/>
      <c r="I196" s="53"/>
    </row>
    <row r="197" spans="1:9">
      <c r="A197" s="53"/>
      <c r="B197" s="53"/>
      <c r="C197" s="53"/>
      <c r="D197" s="54"/>
      <c r="E197" s="53"/>
      <c r="F197" s="53"/>
      <c r="G197" s="53"/>
      <c r="H197" s="53"/>
      <c r="I197" s="53"/>
    </row>
    <row r="198" spans="1:9">
      <c r="A198" s="53"/>
      <c r="B198" s="53"/>
      <c r="C198" s="53"/>
      <c r="D198" s="54"/>
      <c r="E198" s="53"/>
      <c r="F198" s="53"/>
      <c r="G198" s="53"/>
      <c r="H198" s="53"/>
      <c r="I198" s="53"/>
    </row>
    <row r="199" spans="1:9">
      <c r="A199" s="53"/>
      <c r="B199" s="53"/>
      <c r="C199" s="53"/>
      <c r="D199" s="54"/>
      <c r="E199" s="53"/>
      <c r="F199" s="53"/>
      <c r="G199" s="53"/>
      <c r="H199" s="53"/>
      <c r="I199" s="53"/>
    </row>
    <row r="200" spans="1:9">
      <c r="A200" s="53"/>
      <c r="B200" s="53"/>
      <c r="C200" s="53"/>
      <c r="D200" s="54"/>
      <c r="E200" s="53"/>
      <c r="F200" s="53"/>
      <c r="G200" s="53"/>
      <c r="H200" s="53"/>
      <c r="I200" s="53"/>
    </row>
    <row r="201" spans="1:9">
      <c r="A201" s="53"/>
      <c r="B201" s="53"/>
      <c r="C201" s="53"/>
      <c r="D201" s="54"/>
      <c r="E201" s="53"/>
      <c r="F201" s="53"/>
      <c r="G201" s="53"/>
      <c r="H201" s="53"/>
      <c r="I201" s="53"/>
    </row>
    <row r="202" spans="1:9">
      <c r="A202" s="53"/>
      <c r="B202" s="53"/>
      <c r="C202" s="53"/>
      <c r="D202" s="54"/>
      <c r="E202" s="53"/>
      <c r="F202" s="53"/>
      <c r="G202" s="53"/>
      <c r="H202" s="53"/>
      <c r="I202" s="53"/>
    </row>
    <row r="203" spans="1:9">
      <c r="A203" s="53"/>
      <c r="B203" s="53"/>
      <c r="C203" s="53"/>
      <c r="D203" s="54"/>
      <c r="E203" s="53"/>
      <c r="F203" s="53"/>
      <c r="G203" s="53"/>
      <c r="H203" s="53"/>
      <c r="I203" s="53"/>
    </row>
    <row r="204" spans="1:9">
      <c r="A204" s="53"/>
      <c r="B204" s="53"/>
      <c r="C204" s="53"/>
      <c r="D204" s="54"/>
      <c r="E204" s="53"/>
      <c r="F204" s="53"/>
      <c r="G204" s="53"/>
      <c r="H204" s="53"/>
      <c r="I204" s="53"/>
    </row>
    <row r="205" spans="1:9">
      <c r="A205" s="53"/>
      <c r="B205" s="53"/>
      <c r="C205" s="53"/>
      <c r="D205" s="54"/>
      <c r="E205" s="53"/>
      <c r="F205" s="53"/>
      <c r="G205" s="53"/>
      <c r="H205" s="53"/>
      <c r="I205" s="53"/>
    </row>
    <row r="206" spans="1:9">
      <c r="A206" s="53"/>
      <c r="B206" s="53"/>
      <c r="C206" s="53"/>
      <c r="D206" s="54"/>
      <c r="E206" s="53"/>
      <c r="F206" s="53"/>
      <c r="G206" s="53"/>
      <c r="H206" s="53"/>
      <c r="I206" s="53"/>
    </row>
    <row r="207" spans="1:9">
      <c r="A207" s="53"/>
      <c r="B207" s="53"/>
      <c r="C207" s="53"/>
      <c r="D207" s="54"/>
      <c r="E207" s="53"/>
      <c r="F207" s="53"/>
      <c r="G207" s="53"/>
      <c r="H207" s="53"/>
      <c r="I207" s="53"/>
    </row>
    <row r="208" spans="1:9">
      <c r="A208" s="53"/>
      <c r="B208" s="53"/>
      <c r="C208" s="53"/>
      <c r="D208" s="54"/>
      <c r="E208" s="53"/>
      <c r="F208" s="53"/>
      <c r="G208" s="53"/>
      <c r="H208" s="53"/>
      <c r="I208" s="53"/>
    </row>
    <row r="209" spans="1:9">
      <c r="A209" s="53"/>
      <c r="B209" s="53"/>
      <c r="C209" s="53"/>
      <c r="D209" s="54"/>
      <c r="E209" s="53"/>
      <c r="F209" s="53"/>
      <c r="G209" s="53"/>
      <c r="H209" s="53"/>
      <c r="I209" s="53"/>
    </row>
    <row r="210" spans="1:9">
      <c r="A210" s="53"/>
      <c r="B210" s="53"/>
      <c r="C210" s="53"/>
      <c r="D210" s="54"/>
      <c r="E210" s="53"/>
      <c r="F210" s="53"/>
      <c r="G210" s="53"/>
      <c r="H210" s="53"/>
      <c r="I210" s="53"/>
    </row>
    <row r="211" spans="1:9">
      <c r="A211" s="53"/>
      <c r="B211" s="53"/>
      <c r="C211" s="53"/>
      <c r="D211" s="54"/>
      <c r="E211" s="53"/>
      <c r="F211" s="53"/>
      <c r="G211" s="53"/>
      <c r="H211" s="53"/>
      <c r="I211" s="53"/>
    </row>
    <row r="212" spans="1:9">
      <c r="A212" s="53"/>
      <c r="B212" s="53"/>
      <c r="C212" s="53"/>
      <c r="D212" s="54"/>
      <c r="E212" s="53"/>
      <c r="F212" s="53"/>
      <c r="G212" s="53"/>
      <c r="H212" s="53"/>
      <c r="I212" s="53"/>
    </row>
    <row r="213" spans="1:9">
      <c r="A213" s="53"/>
      <c r="B213" s="53"/>
      <c r="C213" s="53"/>
      <c r="D213" s="54"/>
      <c r="E213" s="53"/>
      <c r="F213" s="53"/>
      <c r="G213" s="53"/>
      <c r="H213" s="53"/>
      <c r="I213" s="53"/>
    </row>
    <row r="214" spans="1:9">
      <c r="A214" s="53"/>
      <c r="B214" s="53"/>
      <c r="C214" s="53"/>
      <c r="D214" s="54"/>
      <c r="E214" s="53"/>
      <c r="F214" s="53"/>
      <c r="G214" s="53"/>
      <c r="H214" s="53"/>
      <c r="I214" s="53"/>
    </row>
    <row r="215" spans="1:9">
      <c r="A215" s="53"/>
      <c r="B215" s="53"/>
      <c r="C215" s="53"/>
      <c r="D215" s="54"/>
      <c r="E215" s="53"/>
      <c r="F215" s="53"/>
      <c r="G215" s="53"/>
      <c r="H215" s="53"/>
      <c r="I215" s="53"/>
    </row>
    <row r="216" spans="1:9">
      <c r="A216" s="53"/>
      <c r="B216" s="53"/>
      <c r="C216" s="53"/>
      <c r="D216" s="54"/>
      <c r="E216" s="53"/>
      <c r="F216" s="53"/>
      <c r="G216" s="53"/>
      <c r="H216" s="53"/>
      <c r="I216" s="53"/>
    </row>
    <row r="217" spans="1:9">
      <c r="A217" s="53"/>
      <c r="B217" s="53"/>
      <c r="C217" s="53"/>
      <c r="D217" s="54"/>
      <c r="E217" s="53"/>
      <c r="F217" s="53"/>
      <c r="G217" s="53"/>
      <c r="H217" s="53"/>
      <c r="I217" s="53"/>
    </row>
    <row r="218" spans="1:9">
      <c r="A218" s="53"/>
      <c r="B218" s="53"/>
      <c r="C218" s="53"/>
      <c r="D218" s="54"/>
      <c r="E218" s="53"/>
      <c r="F218" s="53"/>
      <c r="G218" s="53"/>
      <c r="H218" s="53"/>
      <c r="I218" s="53"/>
    </row>
    <row r="219" spans="1:9">
      <c r="A219" s="53"/>
      <c r="B219" s="53"/>
      <c r="C219" s="53"/>
      <c r="D219" s="54"/>
      <c r="E219" s="53"/>
      <c r="F219" s="53"/>
      <c r="G219" s="53"/>
      <c r="H219" s="53"/>
      <c r="I219" s="53"/>
    </row>
    <row r="220" spans="1:9">
      <c r="A220" s="53"/>
      <c r="B220" s="53"/>
      <c r="C220" s="53"/>
      <c r="D220" s="54"/>
      <c r="E220" s="53"/>
      <c r="F220" s="53"/>
      <c r="G220" s="53"/>
      <c r="H220" s="53"/>
      <c r="I220" s="53"/>
    </row>
    <row r="221" spans="1:9">
      <c r="A221" s="53"/>
      <c r="B221" s="53"/>
      <c r="C221" s="53"/>
      <c r="D221" s="54"/>
      <c r="E221" s="53"/>
      <c r="F221" s="53"/>
      <c r="G221" s="53"/>
      <c r="H221" s="53"/>
      <c r="I221" s="53"/>
    </row>
    <row r="222" spans="1:9">
      <c r="A222" s="53"/>
      <c r="B222" s="53"/>
      <c r="C222" s="53"/>
      <c r="D222" s="54"/>
      <c r="E222" s="53"/>
      <c r="F222" s="53"/>
      <c r="G222" s="53"/>
      <c r="H222" s="53"/>
      <c r="I222" s="53"/>
    </row>
    <row r="223" spans="1:9">
      <c r="A223" s="53"/>
      <c r="B223" s="53"/>
      <c r="C223" s="53"/>
      <c r="D223" s="54"/>
      <c r="E223" s="53"/>
      <c r="F223" s="53"/>
      <c r="G223" s="53"/>
      <c r="H223" s="53"/>
      <c r="I223" s="53"/>
    </row>
    <row r="224" spans="1:9">
      <c r="A224" s="53"/>
      <c r="B224" s="53"/>
      <c r="C224" s="53"/>
      <c r="D224" s="54"/>
      <c r="E224" s="53"/>
      <c r="F224" s="53"/>
      <c r="G224" s="53"/>
      <c r="H224" s="53"/>
      <c r="I224" s="53"/>
    </row>
    <row r="225" spans="1:9">
      <c r="A225" s="53"/>
      <c r="B225" s="53"/>
      <c r="C225" s="53"/>
      <c r="D225" s="54"/>
      <c r="E225" s="53"/>
      <c r="F225" s="53"/>
      <c r="G225" s="53"/>
      <c r="H225" s="53"/>
      <c r="I225" s="53"/>
    </row>
    <row r="226" spans="1:9">
      <c r="A226" s="53"/>
      <c r="B226" s="53"/>
      <c r="C226" s="53"/>
      <c r="D226" s="54"/>
      <c r="E226" s="53"/>
      <c r="F226" s="53"/>
      <c r="G226" s="53"/>
      <c r="H226" s="53"/>
      <c r="I226" s="53"/>
    </row>
    <row r="227" spans="1:9">
      <c r="A227" s="53"/>
      <c r="B227" s="53"/>
      <c r="C227" s="53"/>
      <c r="D227" s="54"/>
      <c r="E227" s="53"/>
      <c r="F227" s="53"/>
      <c r="G227" s="53"/>
      <c r="H227" s="53"/>
      <c r="I227" s="53"/>
    </row>
    <row r="228" spans="1:9">
      <c r="A228" s="53"/>
      <c r="B228" s="53"/>
      <c r="C228" s="53"/>
      <c r="D228" s="54"/>
      <c r="E228" s="53"/>
      <c r="F228" s="53"/>
      <c r="G228" s="53"/>
      <c r="H228" s="53"/>
      <c r="I228" s="53"/>
    </row>
    <row r="229" spans="1:9">
      <c r="A229" s="53"/>
      <c r="B229" s="53"/>
      <c r="C229" s="53"/>
      <c r="D229" s="54"/>
      <c r="E229" s="53"/>
      <c r="F229" s="53"/>
      <c r="G229" s="53"/>
      <c r="H229" s="53"/>
      <c r="I229" s="53"/>
    </row>
    <row r="230" spans="1:9">
      <c r="A230" s="53"/>
      <c r="B230" s="53"/>
      <c r="C230" s="53"/>
      <c r="D230" s="54"/>
      <c r="E230" s="53"/>
      <c r="F230" s="53"/>
      <c r="G230" s="53"/>
      <c r="H230" s="53"/>
      <c r="I230" s="53"/>
    </row>
    <row r="231" spans="1:9">
      <c r="A231" s="53"/>
      <c r="B231" s="53"/>
      <c r="C231" s="53"/>
      <c r="D231" s="54"/>
      <c r="E231" s="53"/>
      <c r="F231" s="53"/>
      <c r="G231" s="53"/>
      <c r="H231" s="53"/>
      <c r="I231" s="53"/>
    </row>
    <row r="232" spans="1:9">
      <c r="A232" s="53"/>
      <c r="B232" s="53"/>
      <c r="C232" s="53"/>
      <c r="D232" s="54"/>
      <c r="E232" s="53"/>
      <c r="F232" s="53"/>
      <c r="G232" s="53"/>
      <c r="H232" s="53"/>
      <c r="I232" s="53"/>
    </row>
    <row r="233" spans="1:9">
      <c r="A233" s="53"/>
      <c r="B233" s="53"/>
      <c r="C233" s="53"/>
      <c r="D233" s="54"/>
      <c r="E233" s="53"/>
      <c r="F233" s="53"/>
      <c r="G233" s="53"/>
      <c r="H233" s="53"/>
      <c r="I233" s="53"/>
    </row>
    <row r="234" spans="1:9">
      <c r="A234" s="53"/>
      <c r="B234" s="53"/>
      <c r="C234" s="53"/>
      <c r="D234" s="54"/>
      <c r="E234" s="53"/>
      <c r="F234" s="53"/>
      <c r="G234" s="53"/>
      <c r="H234" s="53"/>
      <c r="I234" s="53"/>
    </row>
  </sheetData>
  <mergeCells count="3">
    <mergeCell ref="U1:V1"/>
    <mergeCell ref="J1:J1048576"/>
    <mergeCell ref="D5:F6"/>
  </mergeCells>
  <dataValidations count="2">
    <dataValidation type="list" allowBlank="1" showInputMessage="1" showErrorMessage="1" sqref="O1 A8:A12 K8:K18">
      <formula1>نام_صاحب_حساب</formula1>
    </dataValidation>
    <dataValidation type="list" allowBlank="1" showInputMessage="1" showErrorMessage="1" sqref="O8:O18">
      <formula1>INDIRECT($N8)</formula1>
    </dataValidation>
  </dataValidations>
  <pageMargins left="0.7" right="0.7" top="0.75" bottom="0.75" header="0.3" footer="0.3"/>
  <pageSetup orientation="portrait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person!$P$1:$Q$1</xm:f>
          </x14:formula1>
          <xm:sqref>N8:N18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8"/>
  <sheetViews>
    <sheetView rightToLeft="1" workbookViewId="0">
      <selection activeCell="C6" sqref="C6"/>
    </sheetView>
  </sheetViews>
  <sheetFormatPr defaultRowHeight="16.8"/>
  <cols>
    <col min="1" max="1" width="10.8984375" style="2" bestFit="1" customWidth="1"/>
    <col min="2" max="3" width="8.69921875" style="2" bestFit="1" customWidth="1"/>
    <col min="4" max="4" width="10.59765625" style="2" bestFit="1" customWidth="1"/>
    <col min="5" max="21" width="9" style="2" customWidth="1"/>
    <col min="22" max="16384" width="8.796875" style="2"/>
  </cols>
  <sheetData>
    <row r="1" spans="1:23" ht="33.6" customHeight="1">
      <c r="A1"/>
      <c r="B1" s="20" t="s">
        <v>41</v>
      </c>
      <c r="C1" s="20" t="s">
        <v>42</v>
      </c>
      <c r="D1" s="20" t="s">
        <v>43</v>
      </c>
      <c r="E1" s="20" t="s">
        <v>44</v>
      </c>
      <c r="F1" s="20" t="s">
        <v>45</v>
      </c>
      <c r="G1" s="20" t="s">
        <v>46</v>
      </c>
      <c r="H1" s="20" t="s">
        <v>47</v>
      </c>
      <c r="I1" s="20" t="s">
        <v>48</v>
      </c>
      <c r="J1" s="20" t="s">
        <v>49</v>
      </c>
      <c r="K1" s="20" t="s">
        <v>50</v>
      </c>
      <c r="L1" s="20" t="s">
        <v>51</v>
      </c>
      <c r="M1" s="20" t="s">
        <v>52</v>
      </c>
      <c r="N1" s="20" t="s">
        <v>53</v>
      </c>
      <c r="O1" s="20" t="s">
        <v>54</v>
      </c>
      <c r="P1" s="20" t="s">
        <v>55</v>
      </c>
      <c r="Q1" s="20" t="s">
        <v>56</v>
      </c>
      <c r="R1" s="20" t="s">
        <v>57</v>
      </c>
      <c r="S1" s="20" t="s">
        <v>58</v>
      </c>
      <c r="T1" s="20" t="s">
        <v>59</v>
      </c>
      <c r="U1" s="63" t="s">
        <v>60</v>
      </c>
    </row>
    <row r="2" spans="1:23" ht="33.6">
      <c r="A2" s="21" t="s">
        <v>61</v>
      </c>
      <c r="B2" s="22" t="s">
        <v>79</v>
      </c>
      <c r="C2" s="22" t="s">
        <v>12</v>
      </c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64"/>
      <c r="V2" s="9"/>
      <c r="W2" s="9"/>
    </row>
    <row r="3" spans="1:23">
      <c r="A3" s="65" t="s">
        <v>39</v>
      </c>
      <c r="B3" s="66">
        <f>INDEX(Table1[[کد شناسایی]:[کد شناسایی]],MATCH(B2,Table1[[نام صاحب حساب]:[نام صاحب حساب]],0))</f>
        <v>452532932</v>
      </c>
      <c r="C3" s="66">
        <f>INDEX(Table1[[کد شناسایی]:[کد شناسایی]],MATCH(C2,Table1[[نام صاحب حساب]:[نام صاحب حساب]],0))</f>
        <v>28632865</v>
      </c>
      <c r="D3" s="66" t="e">
        <f>INDEX(Table1[[کد شناسایی]:[کد شناسایی]],MATCH(D2,Table1[[نام صاحب حساب]:[نام صاحب حساب]],0))</f>
        <v>#N/A</v>
      </c>
      <c r="E3" s="66" t="e">
        <f>INDEX(Table1[[کد شناسایی]:[کد شناسایی]],MATCH(E2,Table1[[نام صاحب حساب]:[نام صاحب حساب]],0))</f>
        <v>#N/A</v>
      </c>
      <c r="F3" s="66" t="e">
        <f>INDEX(Table1[[کد شناسایی]:[کد شناسایی]],MATCH(F2,Table1[[نام صاحب حساب]:[نام صاحب حساب]],0))</f>
        <v>#N/A</v>
      </c>
      <c r="G3" s="66" t="e">
        <f>INDEX(Table1[[کد شناسایی]:[کد شناسایی]],MATCH(G2,Table1[[نام صاحب حساب]:[نام صاحب حساب]],0))</f>
        <v>#N/A</v>
      </c>
      <c r="H3" s="66" t="e">
        <f>INDEX(Table1[[کد شناسایی]:[کد شناسایی]],MATCH(H2,Table1[[نام صاحب حساب]:[نام صاحب حساب]],0))</f>
        <v>#N/A</v>
      </c>
      <c r="I3" s="66" t="e">
        <f>INDEX(Table1[[کد شناسایی]:[کد شناسایی]],MATCH(I2,Table1[[نام صاحب حساب]:[نام صاحب حساب]],0))</f>
        <v>#N/A</v>
      </c>
      <c r="J3" s="66" t="e">
        <f>INDEX(Table1[[کد شناسایی]:[کد شناسایی]],MATCH(J2,Table1[[نام صاحب حساب]:[نام صاحب حساب]],0))</f>
        <v>#N/A</v>
      </c>
      <c r="K3" s="66" t="e">
        <f>INDEX(Table1[[کد شناسایی]:[کد شناسایی]],MATCH(K2,Table1[[نام صاحب حساب]:[نام صاحب حساب]],0))</f>
        <v>#N/A</v>
      </c>
      <c r="L3" s="66" t="e">
        <f>INDEX(Table1[[کد شناسایی]:[کد شناسایی]],MATCH(L2,Table1[[نام صاحب حساب]:[نام صاحب حساب]],0))</f>
        <v>#N/A</v>
      </c>
      <c r="M3" s="66" t="e">
        <f>INDEX(Table1[[کد شناسایی]:[کد شناسایی]],MATCH(M2,Table1[[نام صاحب حساب]:[نام صاحب حساب]],0))</f>
        <v>#N/A</v>
      </c>
      <c r="N3" s="66" t="e">
        <f>INDEX(Table1[[کد شناسایی]:[کد شناسایی]],MATCH(N2,Table1[[نام صاحب حساب]:[نام صاحب حساب]],0))</f>
        <v>#N/A</v>
      </c>
      <c r="O3" s="66" t="e">
        <f>INDEX(Table1[[کد شناسایی]:[کد شناسایی]],MATCH(O2,Table1[[نام صاحب حساب]:[نام صاحب حساب]],0))</f>
        <v>#N/A</v>
      </c>
      <c r="P3" s="66" t="e">
        <f>INDEX(Table1[[کد شناسایی]:[کد شناسایی]],MATCH(P2,Table1[[نام صاحب حساب]:[نام صاحب حساب]],0))</f>
        <v>#N/A</v>
      </c>
      <c r="Q3" s="66" t="e">
        <f>INDEX(Table1[[کد شناسایی]:[کد شناسایی]],MATCH(Q2,Table1[[نام صاحب حساب]:[نام صاحب حساب]],0))</f>
        <v>#N/A</v>
      </c>
      <c r="R3" s="66" t="e">
        <f>INDEX(Table1[[کد شناسایی]:[کد شناسایی]],MATCH(R2,Table1[[نام صاحب حساب]:[نام صاحب حساب]],0))</f>
        <v>#N/A</v>
      </c>
      <c r="S3" s="66" t="e">
        <f>INDEX(Table1[[کد شناسایی]:[کد شناسایی]],MATCH(S2,Table1[[نام صاحب حساب]:[نام صاحب حساب]],0))</f>
        <v>#N/A</v>
      </c>
      <c r="T3" s="66" t="e">
        <f>INDEX(Table1[[کد شناسایی]:[کد شناسایی]],MATCH(T2,Table1[[نام صاحب حساب]:[نام صاحب حساب]],0))</f>
        <v>#N/A</v>
      </c>
      <c r="U3" s="67" t="e">
        <f>INDEX(Table1[[کد شناسایی]:[کد شناسایی]],MATCH(U2,Table1[[نام صاحب حساب]:[نام صاحب حساب]],0))</f>
        <v>#N/A</v>
      </c>
      <c r="V3" s="9"/>
      <c r="W3" s="9"/>
    </row>
    <row r="8" spans="1:23">
      <c r="A8"/>
      <c r="B8"/>
      <c r="C8"/>
      <c r="D8"/>
      <c r="E8"/>
      <c r="F8"/>
      <c r="G8"/>
      <c r="H8"/>
      <c r="I8"/>
      <c r="J8"/>
    </row>
  </sheetData>
  <dataValidations count="1">
    <dataValidation type="list" allowBlank="1" showInputMessage="1" showErrorMessage="1" sqref="B2:U2 C8:D8 I8">
      <formula1>نام_صاحب_حساب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N103"/>
  <sheetViews>
    <sheetView rightToLeft="1" workbookViewId="0">
      <selection activeCell="H9" sqref="H9"/>
    </sheetView>
  </sheetViews>
  <sheetFormatPr defaultColWidth="8.69921875" defaultRowHeight="16.8"/>
  <cols>
    <col min="1" max="1" width="8.69921875" style="2"/>
    <col min="2" max="3" width="14.8984375" style="14" customWidth="1"/>
    <col min="4" max="4" width="10.19921875" style="14" customWidth="1"/>
    <col min="5" max="5" width="8.59765625" style="14" customWidth="1"/>
    <col min="6" max="6" width="11.69921875" style="14" customWidth="1"/>
    <col min="7" max="7" width="8.59765625" style="3" customWidth="1"/>
    <col min="8" max="8" width="21.3984375" style="14" customWidth="1"/>
    <col min="9" max="10" width="12" style="14" customWidth="1"/>
    <col min="11" max="11" width="9" style="14" customWidth="1"/>
    <col min="12" max="16384" width="8.69921875" style="2"/>
  </cols>
  <sheetData>
    <row r="1" spans="2:14" ht="18.600000000000001">
      <c r="B1" s="16" t="s">
        <v>0</v>
      </c>
      <c r="C1" s="16" t="s">
        <v>39</v>
      </c>
      <c r="D1" s="16" t="s">
        <v>1</v>
      </c>
      <c r="E1" s="16" t="s">
        <v>2</v>
      </c>
      <c r="F1" s="16" t="s">
        <v>3</v>
      </c>
      <c r="G1" s="50" t="s">
        <v>4</v>
      </c>
      <c r="H1" s="16" t="s">
        <v>23</v>
      </c>
      <c r="I1" s="16" t="s">
        <v>25</v>
      </c>
      <c r="J1" s="16" t="s">
        <v>26</v>
      </c>
      <c r="K1" s="16" t="s">
        <v>5</v>
      </c>
    </row>
    <row r="2" spans="2:14">
      <c r="B2" s="77"/>
      <c r="C2" s="77"/>
      <c r="D2" s="77"/>
      <c r="E2" s="77"/>
      <c r="F2" s="77"/>
      <c r="G2" s="77"/>
      <c r="H2" s="77"/>
      <c r="I2" s="77"/>
      <c r="J2" s="77"/>
      <c r="K2" s="77"/>
    </row>
    <row r="3" spans="2:14" ht="20.399999999999999" customHeight="1">
      <c r="B3" s="77"/>
      <c r="C3" s="77"/>
      <c r="D3" s="77"/>
      <c r="E3" s="77"/>
      <c r="F3" s="77"/>
      <c r="G3" s="77"/>
      <c r="H3" s="77"/>
      <c r="I3" s="77"/>
      <c r="J3" s="77"/>
      <c r="K3" s="77"/>
    </row>
    <row r="4" spans="2:14">
      <c r="B4" s="77"/>
      <c r="C4" s="77"/>
      <c r="D4" s="77"/>
      <c r="E4" s="77"/>
      <c r="F4" s="77"/>
      <c r="G4" s="77"/>
      <c r="H4" s="77"/>
      <c r="I4" s="77"/>
      <c r="J4" s="77"/>
      <c r="K4" s="77"/>
      <c r="N4" s="49"/>
    </row>
    <row r="5" spans="2:14">
      <c r="B5" s="77"/>
      <c r="C5" s="77"/>
      <c r="D5" s="77"/>
      <c r="E5" s="77"/>
      <c r="F5" s="77"/>
      <c r="G5" s="77"/>
      <c r="H5" s="77"/>
      <c r="I5" s="77"/>
      <c r="J5" s="77"/>
      <c r="K5" s="77"/>
    </row>
    <row r="6" spans="2:14">
      <c r="B6" s="77"/>
      <c r="C6" s="77"/>
      <c r="D6" s="77"/>
      <c r="E6" s="77"/>
      <c r="F6" s="77"/>
      <c r="G6" s="77"/>
      <c r="H6" s="77"/>
      <c r="I6" s="77"/>
      <c r="J6" s="77"/>
      <c r="K6" s="77"/>
    </row>
    <row r="7" spans="2:14">
      <c r="B7" s="77"/>
      <c r="C7" s="77"/>
      <c r="D7" s="77"/>
      <c r="E7" s="77"/>
      <c r="F7" s="77"/>
      <c r="G7" s="77"/>
      <c r="H7" s="77"/>
      <c r="I7" s="77"/>
      <c r="J7" s="77"/>
      <c r="K7" s="77"/>
    </row>
    <row r="8" spans="2:14">
      <c r="B8" s="77"/>
      <c r="C8" s="77"/>
      <c r="D8" s="77"/>
      <c r="E8" s="77"/>
      <c r="F8" s="77"/>
      <c r="G8" s="77"/>
      <c r="H8" s="77"/>
      <c r="I8" s="77"/>
      <c r="J8" s="77"/>
      <c r="K8" s="77"/>
    </row>
    <row r="9" spans="2:14">
      <c r="B9" s="77"/>
      <c r="C9" s="77"/>
      <c r="D9" s="77"/>
      <c r="E9" s="77"/>
      <c r="F9" s="77"/>
      <c r="G9" s="77"/>
      <c r="H9" s="77"/>
      <c r="I9" s="77"/>
      <c r="J9" s="77"/>
      <c r="K9" s="77"/>
    </row>
    <row r="10" spans="2:14"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2:14"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2:14"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2:14"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2:14"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2:14"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2:14">
      <c r="B16" s="77"/>
      <c r="C16" s="77"/>
      <c r="D16" s="77"/>
      <c r="E16" s="77"/>
      <c r="F16" s="77"/>
      <c r="G16" s="77"/>
      <c r="H16" s="77"/>
      <c r="I16" s="77"/>
      <c r="J16" s="77"/>
      <c r="K16" s="77"/>
    </row>
    <row r="17" spans="2:11">
      <c r="B17" s="77"/>
      <c r="C17" s="77"/>
      <c r="D17" s="77"/>
      <c r="E17" s="77"/>
      <c r="F17" s="77"/>
      <c r="G17" s="77"/>
      <c r="H17" s="77"/>
      <c r="I17" s="77"/>
      <c r="J17" s="77"/>
      <c r="K17" s="77"/>
    </row>
    <row r="18" spans="2:11">
      <c r="B18" s="77"/>
      <c r="C18" s="77"/>
      <c r="D18" s="77"/>
      <c r="E18" s="77"/>
      <c r="F18" s="77"/>
      <c r="G18" s="77"/>
      <c r="H18" s="77"/>
      <c r="I18" s="77"/>
      <c r="J18" s="77"/>
      <c r="K18" s="77"/>
    </row>
    <row r="19" spans="2:11">
      <c r="B19" s="77"/>
      <c r="C19" s="77"/>
      <c r="D19" s="77"/>
      <c r="E19" s="77"/>
      <c r="F19" s="77"/>
      <c r="G19" s="77"/>
      <c r="H19" s="77"/>
      <c r="I19" s="77"/>
      <c r="J19" s="77"/>
      <c r="K19" s="77"/>
    </row>
    <row r="20" spans="2:11">
      <c r="B20" s="77"/>
      <c r="C20" s="77"/>
      <c r="D20" s="77"/>
      <c r="E20" s="77"/>
      <c r="F20" s="77"/>
      <c r="G20" s="77"/>
      <c r="H20" s="77"/>
      <c r="I20" s="77"/>
      <c r="J20" s="77"/>
      <c r="K20" s="77"/>
    </row>
    <row r="21" spans="2:11">
      <c r="B21" s="77"/>
      <c r="C21" s="77"/>
      <c r="D21" s="77"/>
      <c r="E21" s="77"/>
      <c r="F21" s="77"/>
      <c r="G21" s="77"/>
      <c r="H21" s="77"/>
      <c r="I21" s="77"/>
      <c r="J21" s="77"/>
      <c r="K21" s="77"/>
    </row>
    <row r="22" spans="2:11">
      <c r="B22" s="77"/>
      <c r="C22" s="77"/>
      <c r="D22" s="77"/>
      <c r="E22" s="77"/>
      <c r="F22" s="77"/>
      <c r="G22" s="77"/>
      <c r="H22" s="77"/>
      <c r="I22" s="77"/>
      <c r="J22" s="77"/>
      <c r="K22" s="77"/>
    </row>
    <row r="23" spans="2:11">
      <c r="B23" s="77"/>
      <c r="C23" s="77"/>
      <c r="D23" s="77"/>
      <c r="E23" s="77"/>
      <c r="F23" s="77"/>
      <c r="G23" s="77"/>
      <c r="H23" s="77"/>
      <c r="I23" s="77"/>
      <c r="J23" s="77"/>
      <c r="K23" s="77"/>
    </row>
    <row r="24" spans="2:11">
      <c r="B24" s="77"/>
      <c r="C24" s="77"/>
      <c r="D24" s="77"/>
      <c r="E24" s="77"/>
      <c r="F24" s="77"/>
      <c r="G24" s="77"/>
      <c r="H24" s="77"/>
      <c r="I24" s="77"/>
      <c r="J24" s="77"/>
      <c r="K24" s="77"/>
    </row>
    <row r="25" spans="2:11">
      <c r="B25" s="77"/>
      <c r="C25" s="77"/>
      <c r="D25" s="77"/>
      <c r="E25" s="77"/>
      <c r="F25" s="77"/>
      <c r="G25" s="77"/>
      <c r="H25" s="77"/>
      <c r="I25" s="77"/>
      <c r="J25" s="77"/>
      <c r="K25" s="77"/>
    </row>
    <row r="26" spans="2:11">
      <c r="B26" s="77"/>
      <c r="C26" s="77"/>
      <c r="D26" s="77"/>
      <c r="E26" s="77"/>
      <c r="F26" s="77"/>
      <c r="G26" s="77"/>
      <c r="H26" s="77"/>
      <c r="I26" s="77"/>
      <c r="J26" s="77"/>
      <c r="K26" s="77"/>
    </row>
    <row r="27" spans="2:11">
      <c r="B27" s="77"/>
      <c r="C27" s="77"/>
      <c r="D27" s="77"/>
      <c r="E27" s="77"/>
      <c r="F27" s="77"/>
      <c r="G27" s="77"/>
      <c r="H27" s="77"/>
      <c r="I27" s="77"/>
      <c r="J27" s="77"/>
      <c r="K27" s="77"/>
    </row>
    <row r="28" spans="2:11">
      <c r="B28" s="77"/>
      <c r="C28" s="77"/>
      <c r="D28" s="77"/>
      <c r="E28" s="77"/>
      <c r="F28" s="77"/>
      <c r="G28" s="77"/>
      <c r="H28" s="77"/>
      <c r="I28" s="77"/>
      <c r="J28" s="77"/>
      <c r="K28" s="77"/>
    </row>
    <row r="29" spans="2:11">
      <c r="B29" s="77"/>
      <c r="C29" s="77"/>
      <c r="D29" s="77"/>
      <c r="E29" s="77"/>
      <c r="F29" s="77"/>
      <c r="G29" s="77"/>
      <c r="H29" s="77"/>
      <c r="I29" s="77"/>
      <c r="J29" s="77"/>
      <c r="K29" s="77"/>
    </row>
    <row r="30" spans="2:11">
      <c r="B30" s="77"/>
      <c r="C30" s="77"/>
      <c r="D30" s="77"/>
      <c r="E30" s="77"/>
      <c r="F30" s="77"/>
      <c r="G30" s="77"/>
      <c r="H30" s="77"/>
      <c r="I30" s="77"/>
      <c r="J30" s="77"/>
      <c r="K30" s="77"/>
    </row>
    <row r="31" spans="2:11">
      <c r="B31" s="77"/>
      <c r="C31" s="77"/>
      <c r="D31" s="77"/>
      <c r="E31" s="77"/>
      <c r="F31" s="77"/>
      <c r="G31" s="77"/>
      <c r="H31" s="77"/>
      <c r="I31" s="77"/>
      <c r="J31" s="77"/>
      <c r="K31" s="77"/>
    </row>
    <row r="32" spans="2:11">
      <c r="B32" s="77"/>
      <c r="C32" s="77"/>
      <c r="D32" s="77"/>
      <c r="E32" s="77"/>
      <c r="F32" s="77"/>
      <c r="G32" s="77"/>
      <c r="H32" s="77"/>
      <c r="I32" s="77"/>
      <c r="J32" s="77"/>
      <c r="K32" s="77"/>
    </row>
    <row r="33" spans="2:11">
      <c r="B33" s="77"/>
      <c r="C33" s="77"/>
      <c r="D33" s="77"/>
      <c r="E33" s="77"/>
      <c r="F33" s="77"/>
      <c r="G33" s="77"/>
      <c r="H33" s="77"/>
      <c r="I33" s="77"/>
      <c r="J33" s="77"/>
      <c r="K33" s="77"/>
    </row>
    <row r="34" spans="2:11">
      <c r="B34" s="77"/>
      <c r="C34" s="77"/>
      <c r="D34" s="77"/>
      <c r="E34" s="77"/>
      <c r="F34" s="77"/>
      <c r="G34" s="77"/>
      <c r="H34" s="77"/>
      <c r="I34" s="77"/>
      <c r="J34" s="77"/>
      <c r="K34" s="77"/>
    </row>
    <row r="35" spans="2:11">
      <c r="B35" s="77"/>
      <c r="C35" s="77"/>
      <c r="D35" s="77"/>
      <c r="E35" s="77"/>
      <c r="F35" s="77"/>
      <c r="G35" s="77"/>
      <c r="H35" s="77"/>
      <c r="I35" s="77"/>
      <c r="J35" s="77"/>
      <c r="K35" s="77"/>
    </row>
    <row r="36" spans="2:11">
      <c r="B36" s="77"/>
      <c r="C36" s="77"/>
      <c r="D36" s="77"/>
      <c r="E36" s="77"/>
      <c r="F36" s="77"/>
      <c r="G36" s="77"/>
      <c r="H36" s="77"/>
      <c r="I36" s="77"/>
      <c r="J36" s="77"/>
      <c r="K36" s="77"/>
    </row>
    <row r="37" spans="2:11">
      <c r="B37" s="77"/>
      <c r="C37" s="77"/>
      <c r="D37" s="77"/>
      <c r="E37" s="77"/>
      <c r="F37" s="77"/>
      <c r="G37" s="77"/>
      <c r="H37" s="77"/>
      <c r="I37" s="77"/>
      <c r="J37" s="77"/>
      <c r="K37" s="77"/>
    </row>
    <row r="38" spans="2:11">
      <c r="B38" s="77"/>
      <c r="C38" s="77"/>
      <c r="D38" s="77"/>
      <c r="E38" s="77"/>
      <c r="F38" s="77"/>
      <c r="G38" s="77"/>
      <c r="H38" s="77"/>
      <c r="I38" s="77"/>
      <c r="J38" s="77"/>
      <c r="K38" s="77"/>
    </row>
    <row r="39" spans="2:11">
      <c r="B39" s="77"/>
      <c r="C39" s="77"/>
      <c r="D39" s="77"/>
      <c r="E39" s="77"/>
      <c r="F39" s="77"/>
      <c r="G39" s="77"/>
      <c r="H39" s="77"/>
      <c r="I39" s="77"/>
      <c r="J39" s="77"/>
      <c r="K39" s="77"/>
    </row>
    <row r="40" spans="2:11">
      <c r="B40" s="77"/>
      <c r="C40" s="77"/>
      <c r="D40" s="77"/>
      <c r="E40" s="77"/>
      <c r="F40" s="77"/>
      <c r="G40" s="77"/>
      <c r="H40" s="77"/>
      <c r="I40" s="77"/>
      <c r="J40" s="77"/>
      <c r="K40" s="77"/>
    </row>
    <row r="51" spans="2:11">
      <c r="B51" s="80"/>
      <c r="C51" s="80"/>
      <c r="D51" s="84"/>
      <c r="E51" s="80"/>
      <c r="F51" s="80"/>
      <c r="G51" s="81"/>
      <c r="H51" s="80"/>
      <c r="I51" s="80"/>
      <c r="J51" s="80"/>
      <c r="K51" s="80"/>
    </row>
    <row r="52" spans="2:11">
      <c r="B52" s="80"/>
      <c r="C52" s="80"/>
      <c r="D52" s="84"/>
      <c r="E52" s="80"/>
      <c r="F52" s="80"/>
      <c r="G52" s="81"/>
      <c r="H52" s="80"/>
      <c r="I52" s="80"/>
      <c r="J52" s="80"/>
      <c r="K52" s="80"/>
    </row>
    <row r="53" spans="2:11">
      <c r="B53" s="80"/>
      <c r="C53" s="80"/>
      <c r="D53" s="84"/>
      <c r="E53" s="80"/>
      <c r="F53" s="80"/>
      <c r="G53" s="81"/>
      <c r="H53" s="80"/>
      <c r="I53" s="80"/>
      <c r="J53" s="80"/>
      <c r="K53" s="80"/>
    </row>
    <row r="54" spans="2:11">
      <c r="B54" s="80"/>
      <c r="C54" s="80"/>
      <c r="D54" s="84"/>
      <c r="E54" s="80"/>
      <c r="F54" s="80"/>
      <c r="G54" s="81"/>
      <c r="H54" s="80"/>
      <c r="I54" s="80"/>
      <c r="J54" s="80"/>
      <c r="K54" s="80"/>
    </row>
    <row r="55" spans="2:11">
      <c r="B55" s="80"/>
      <c r="C55" s="80"/>
      <c r="D55" s="84"/>
      <c r="E55" s="80"/>
      <c r="F55" s="80"/>
      <c r="G55" s="81"/>
      <c r="H55" s="80"/>
      <c r="I55" s="80"/>
      <c r="J55" s="80"/>
      <c r="K55" s="80"/>
    </row>
    <row r="56" spans="2:11">
      <c r="B56" s="80"/>
      <c r="C56" s="80"/>
      <c r="D56" s="84"/>
      <c r="E56" s="80"/>
      <c r="F56" s="80"/>
      <c r="G56" s="81"/>
      <c r="H56" s="80"/>
      <c r="I56" s="80"/>
      <c r="J56" s="80"/>
      <c r="K56" s="80"/>
    </row>
    <row r="57" spans="2:11">
      <c r="B57" s="80"/>
      <c r="C57" s="80"/>
      <c r="D57" s="84"/>
      <c r="E57" s="80"/>
      <c r="F57" s="80"/>
      <c r="G57" s="81"/>
      <c r="H57" s="80"/>
      <c r="I57" s="80"/>
      <c r="J57" s="80"/>
      <c r="K57" s="80"/>
    </row>
    <row r="58" spans="2:11">
      <c r="B58" s="80"/>
      <c r="C58" s="80"/>
      <c r="D58" s="84"/>
      <c r="E58" s="80"/>
      <c r="F58" s="80"/>
      <c r="G58" s="81"/>
      <c r="H58" s="80"/>
      <c r="I58" s="80"/>
      <c r="J58" s="80"/>
      <c r="K58" s="80"/>
    </row>
    <row r="59" spans="2:11">
      <c r="B59" s="80"/>
      <c r="C59" s="80"/>
      <c r="D59" s="84"/>
      <c r="E59" s="80"/>
      <c r="F59" s="80"/>
      <c r="G59" s="81"/>
      <c r="H59" s="80"/>
      <c r="I59" s="80"/>
      <c r="J59" s="80"/>
      <c r="K59" s="80"/>
    </row>
    <row r="60" spans="2:11">
      <c r="B60" s="80"/>
      <c r="C60" s="80"/>
      <c r="D60" s="84"/>
      <c r="E60" s="80"/>
      <c r="F60" s="80"/>
      <c r="G60" s="81"/>
      <c r="H60" s="80"/>
      <c r="I60" s="80"/>
      <c r="J60" s="80"/>
      <c r="K60" s="80"/>
    </row>
    <row r="61" spans="2:11">
      <c r="B61" s="82"/>
      <c r="C61" s="82"/>
      <c r="D61" s="84"/>
      <c r="E61" s="82"/>
      <c r="F61" s="82"/>
      <c r="G61" s="83"/>
      <c r="H61" s="82"/>
      <c r="I61" s="82"/>
      <c r="J61" s="82"/>
      <c r="K61" s="82"/>
    </row>
    <row r="62" spans="2:11">
      <c r="B62" s="82"/>
      <c r="C62" s="82"/>
      <c r="D62" s="84"/>
      <c r="E62" s="82"/>
      <c r="F62" s="82"/>
      <c r="G62" s="83"/>
      <c r="H62" s="82"/>
      <c r="I62" s="82"/>
      <c r="J62" s="82"/>
      <c r="K62" s="82"/>
    </row>
    <row r="63" spans="2:11">
      <c r="B63" s="82"/>
      <c r="C63" s="82"/>
      <c r="D63" s="84"/>
      <c r="E63" s="82"/>
      <c r="F63" s="82"/>
      <c r="G63" s="83"/>
      <c r="H63" s="82"/>
      <c r="I63" s="82"/>
      <c r="J63" s="82"/>
      <c r="K63" s="82"/>
    </row>
    <row r="64" spans="2:11">
      <c r="B64" s="82"/>
      <c r="C64" s="82"/>
      <c r="D64" s="84"/>
      <c r="E64" s="82"/>
      <c r="F64" s="82"/>
      <c r="G64" s="83"/>
      <c r="H64" s="82"/>
      <c r="I64" s="82"/>
      <c r="J64" s="82"/>
      <c r="K64" s="82"/>
    </row>
    <row r="65" spans="2:11">
      <c r="B65" s="82"/>
      <c r="C65" s="82"/>
      <c r="D65" s="84"/>
      <c r="E65" s="82"/>
      <c r="F65" s="82"/>
      <c r="G65" s="83"/>
      <c r="H65" s="82"/>
      <c r="I65" s="82"/>
      <c r="J65" s="82"/>
      <c r="K65" s="82"/>
    </row>
    <row r="66" spans="2:11">
      <c r="B66" s="82"/>
      <c r="C66" s="82"/>
      <c r="D66" s="84"/>
      <c r="E66" s="82"/>
      <c r="F66" s="82"/>
      <c r="G66" s="83"/>
      <c r="H66" s="82"/>
      <c r="I66" s="82"/>
      <c r="J66" s="82"/>
      <c r="K66" s="82"/>
    </row>
    <row r="67" spans="2:11">
      <c r="B67" s="82"/>
      <c r="C67" s="82"/>
      <c r="D67" s="84"/>
      <c r="E67" s="82"/>
      <c r="F67" s="82"/>
      <c r="G67" s="83"/>
      <c r="H67" s="82"/>
      <c r="I67" s="82"/>
      <c r="J67" s="82"/>
      <c r="K67" s="82"/>
    </row>
    <row r="68" spans="2:11">
      <c r="B68" s="82"/>
      <c r="C68" s="82"/>
      <c r="D68" s="84"/>
      <c r="E68" s="82"/>
      <c r="F68" s="82"/>
      <c r="G68" s="83"/>
      <c r="H68" s="82"/>
      <c r="I68" s="82"/>
      <c r="J68" s="82"/>
      <c r="K68" s="82"/>
    </row>
    <row r="69" spans="2:11">
      <c r="B69" s="82"/>
      <c r="C69" s="82"/>
      <c r="D69" s="84"/>
      <c r="E69" s="82"/>
      <c r="F69" s="82"/>
      <c r="G69" s="83"/>
      <c r="H69" s="82"/>
      <c r="I69" s="82"/>
      <c r="J69" s="82"/>
      <c r="K69" s="82"/>
    </row>
    <row r="70" spans="2:11">
      <c r="B70" s="82"/>
      <c r="C70" s="82"/>
      <c r="D70" s="84"/>
      <c r="E70" s="82"/>
      <c r="F70" s="82"/>
      <c r="G70" s="83"/>
      <c r="H70" s="82"/>
      <c r="I70" s="82"/>
      <c r="J70" s="82"/>
      <c r="K70" s="82"/>
    </row>
    <row r="71" spans="2:11">
      <c r="B71" s="82"/>
      <c r="C71" s="82"/>
      <c r="D71" s="82"/>
      <c r="E71" s="82"/>
      <c r="F71" s="82"/>
      <c r="G71" s="82"/>
      <c r="H71" s="82"/>
      <c r="I71" s="82"/>
      <c r="J71" s="82"/>
      <c r="K71" s="82"/>
    </row>
    <row r="72" spans="2:11">
      <c r="B72" s="82"/>
      <c r="C72" s="82"/>
      <c r="D72" s="82"/>
      <c r="E72" s="82"/>
      <c r="F72" s="82"/>
      <c r="G72" s="82"/>
      <c r="H72" s="82"/>
      <c r="I72" s="82"/>
      <c r="J72" s="82"/>
      <c r="K72" s="82"/>
    </row>
    <row r="73" spans="2:11">
      <c r="B73" s="82"/>
      <c r="C73" s="82"/>
      <c r="D73" s="82"/>
      <c r="E73" s="82"/>
      <c r="F73" s="82"/>
      <c r="G73" s="82"/>
      <c r="H73" s="82"/>
      <c r="I73" s="82"/>
      <c r="J73" s="82"/>
      <c r="K73" s="82"/>
    </row>
    <row r="74" spans="2:11">
      <c r="B74" s="82"/>
      <c r="C74" s="82"/>
      <c r="D74" s="82"/>
      <c r="E74" s="82"/>
      <c r="F74" s="82"/>
      <c r="G74" s="82"/>
      <c r="H74" s="82"/>
      <c r="I74" s="82"/>
      <c r="J74" s="82"/>
      <c r="K74" s="82"/>
    </row>
    <row r="75" spans="2:11">
      <c r="B75" s="82"/>
      <c r="C75" s="82"/>
      <c r="D75" s="82"/>
      <c r="E75" s="82"/>
      <c r="F75" s="82"/>
      <c r="G75" s="82"/>
      <c r="H75" s="82"/>
      <c r="I75" s="82"/>
      <c r="J75" s="82"/>
      <c r="K75" s="82"/>
    </row>
    <row r="76" spans="2:11">
      <c r="B76" s="82"/>
      <c r="C76" s="82"/>
      <c r="D76" s="82"/>
      <c r="E76" s="82"/>
      <c r="F76" s="82"/>
      <c r="G76" s="82"/>
      <c r="H76" s="82"/>
      <c r="I76" s="82"/>
      <c r="J76" s="82"/>
      <c r="K76" s="82"/>
    </row>
    <row r="77" spans="2:11">
      <c r="B77" s="82"/>
      <c r="C77" s="82"/>
      <c r="D77" s="82"/>
      <c r="E77" s="82"/>
      <c r="F77" s="82"/>
      <c r="G77" s="82"/>
      <c r="H77" s="82"/>
      <c r="I77" s="82"/>
      <c r="J77" s="82"/>
      <c r="K77" s="82"/>
    </row>
    <row r="78" spans="2:11">
      <c r="B78" s="82"/>
      <c r="C78" s="82"/>
      <c r="D78" s="82"/>
      <c r="E78" s="82"/>
      <c r="F78" s="82"/>
      <c r="G78" s="82"/>
      <c r="H78" s="82"/>
      <c r="I78" s="82"/>
      <c r="J78" s="82"/>
      <c r="K78" s="82"/>
    </row>
    <row r="79" spans="2:11">
      <c r="B79" s="82"/>
      <c r="C79" s="82"/>
      <c r="D79" s="82"/>
      <c r="E79" s="82"/>
      <c r="F79" s="82"/>
      <c r="G79" s="82"/>
      <c r="H79" s="82"/>
      <c r="I79" s="82"/>
      <c r="J79" s="82"/>
      <c r="K79" s="82"/>
    </row>
    <row r="80" spans="2:11">
      <c r="B80" s="82"/>
      <c r="C80" s="82"/>
      <c r="D80" s="82"/>
      <c r="E80" s="82"/>
      <c r="F80" s="82"/>
      <c r="G80" s="82"/>
      <c r="H80" s="82"/>
      <c r="I80" s="82"/>
      <c r="J80" s="82"/>
      <c r="K80" s="82"/>
    </row>
    <row r="81" spans="2:11">
      <c r="B81" s="82"/>
      <c r="C81" s="82"/>
      <c r="D81" s="82"/>
      <c r="E81" s="82"/>
      <c r="F81" s="82"/>
      <c r="G81" s="82"/>
      <c r="H81" s="82"/>
      <c r="I81" s="82"/>
      <c r="J81" s="82"/>
      <c r="K81" s="82"/>
    </row>
    <row r="82" spans="2:11">
      <c r="B82" s="82"/>
      <c r="C82" s="82"/>
      <c r="D82" s="82"/>
      <c r="E82" s="82"/>
      <c r="F82" s="82"/>
      <c r="G82" s="82"/>
      <c r="H82" s="82"/>
      <c r="I82" s="82"/>
      <c r="J82" s="82"/>
      <c r="K82" s="82"/>
    </row>
    <row r="83" spans="2:11">
      <c r="B83" s="82"/>
      <c r="C83" s="82"/>
      <c r="D83" s="82"/>
      <c r="E83" s="82"/>
      <c r="F83" s="82"/>
      <c r="G83" s="82"/>
      <c r="H83" s="82"/>
      <c r="I83" s="82"/>
      <c r="J83" s="82"/>
      <c r="K83" s="82"/>
    </row>
    <row r="84" spans="2:11">
      <c r="B84" s="82"/>
      <c r="C84" s="82"/>
      <c r="D84" s="84"/>
      <c r="E84" s="82"/>
      <c r="F84" s="82"/>
      <c r="G84" s="83"/>
      <c r="H84" s="82"/>
      <c r="I84" s="82"/>
      <c r="J84" s="82"/>
      <c r="K84" s="82"/>
    </row>
    <row r="85" spans="2:11">
      <c r="B85" s="82"/>
      <c r="C85" s="82"/>
      <c r="D85" s="84"/>
      <c r="E85" s="82"/>
      <c r="F85" s="82"/>
      <c r="G85" s="83"/>
      <c r="H85" s="82"/>
      <c r="I85" s="82"/>
      <c r="J85" s="82"/>
      <c r="K85" s="82"/>
    </row>
    <row r="86" spans="2:11">
      <c r="B86" s="82"/>
      <c r="C86" s="82"/>
      <c r="D86" s="84"/>
      <c r="E86" s="82"/>
      <c r="F86" s="82"/>
      <c r="G86" s="83"/>
      <c r="H86" s="82"/>
      <c r="I86" s="82"/>
      <c r="J86" s="82"/>
      <c r="K86" s="82"/>
    </row>
    <row r="87" spans="2:11">
      <c r="B87" s="82"/>
      <c r="C87" s="82"/>
      <c r="D87" s="84"/>
      <c r="E87" s="82"/>
      <c r="F87" s="82"/>
      <c r="G87" s="83"/>
      <c r="H87" s="82"/>
      <c r="I87" s="82"/>
      <c r="J87" s="82"/>
      <c r="K87" s="82"/>
    </row>
    <row r="88" spans="2:11">
      <c r="B88" s="82"/>
      <c r="C88" s="82"/>
      <c r="D88" s="84"/>
      <c r="E88" s="82"/>
      <c r="F88" s="82"/>
      <c r="G88" s="83"/>
      <c r="H88" s="82"/>
      <c r="I88" s="82"/>
      <c r="J88" s="82"/>
      <c r="K88" s="82"/>
    </row>
    <row r="89" spans="2:11">
      <c r="B89" s="82"/>
      <c r="C89" s="82"/>
      <c r="D89" s="84"/>
      <c r="E89" s="82"/>
      <c r="F89" s="82"/>
      <c r="G89" s="83"/>
      <c r="H89" s="82"/>
      <c r="I89" s="82"/>
      <c r="J89" s="82"/>
      <c r="K89" s="82"/>
    </row>
    <row r="90" spans="2:11">
      <c r="B90" s="82"/>
      <c r="C90" s="82"/>
      <c r="D90" s="84"/>
      <c r="E90" s="82"/>
      <c r="F90" s="82"/>
      <c r="G90" s="83"/>
      <c r="H90" s="82"/>
      <c r="I90" s="82"/>
      <c r="J90" s="82"/>
      <c r="K90" s="82"/>
    </row>
    <row r="91" spans="2:11">
      <c r="B91" s="82"/>
      <c r="C91" s="82"/>
      <c r="D91" s="84"/>
      <c r="E91" s="82"/>
      <c r="F91" s="82"/>
      <c r="G91" s="83"/>
      <c r="H91" s="82"/>
      <c r="I91" s="82"/>
      <c r="J91" s="82"/>
      <c r="K91" s="82"/>
    </row>
    <row r="92" spans="2:11">
      <c r="B92" s="82"/>
      <c r="C92" s="82"/>
      <c r="D92" s="84"/>
      <c r="E92" s="82"/>
      <c r="F92" s="82"/>
      <c r="G92" s="83"/>
      <c r="H92" s="82"/>
      <c r="I92" s="82"/>
      <c r="J92" s="82"/>
      <c r="K92" s="82"/>
    </row>
    <row r="93" spans="2:11">
      <c r="B93" s="82"/>
      <c r="C93" s="82"/>
      <c r="D93" s="84"/>
      <c r="E93" s="82"/>
      <c r="F93" s="82"/>
      <c r="G93" s="83"/>
      <c r="H93" s="82"/>
      <c r="I93" s="82"/>
      <c r="J93" s="82"/>
      <c r="K93" s="82"/>
    </row>
    <row r="94" spans="2:11">
      <c r="B94" s="85"/>
      <c r="C94" s="85"/>
      <c r="D94" s="84"/>
      <c r="E94" s="85"/>
      <c r="F94" s="85"/>
      <c r="G94" s="86"/>
      <c r="H94" s="85"/>
      <c r="I94" s="85"/>
      <c r="J94" s="85"/>
      <c r="K94" s="85"/>
    </row>
    <row r="95" spans="2:11">
      <c r="B95" s="85"/>
      <c r="C95" s="85"/>
      <c r="D95" s="84"/>
      <c r="E95" s="85"/>
      <c r="F95" s="85"/>
      <c r="G95" s="86"/>
      <c r="H95" s="85"/>
      <c r="I95" s="85"/>
      <c r="J95" s="85"/>
      <c r="K95" s="85"/>
    </row>
    <row r="96" spans="2:11">
      <c r="B96" s="85"/>
      <c r="C96" s="85"/>
      <c r="D96" s="84"/>
      <c r="E96" s="85"/>
      <c r="F96" s="85"/>
      <c r="G96" s="86"/>
      <c r="H96" s="85"/>
      <c r="I96" s="85"/>
      <c r="J96" s="85"/>
      <c r="K96" s="85"/>
    </row>
    <row r="97" spans="2:11">
      <c r="B97" s="85"/>
      <c r="C97" s="85"/>
      <c r="D97" s="84"/>
      <c r="E97" s="85"/>
      <c r="F97" s="85"/>
      <c r="G97" s="86"/>
      <c r="H97" s="85"/>
      <c r="I97" s="85"/>
      <c r="J97" s="85"/>
      <c r="K97" s="85"/>
    </row>
    <row r="98" spans="2:11">
      <c r="B98" s="85"/>
      <c r="C98" s="85"/>
      <c r="D98" s="84"/>
      <c r="E98" s="85"/>
      <c r="F98" s="85"/>
      <c r="G98" s="86"/>
      <c r="H98" s="85"/>
      <c r="I98" s="85"/>
      <c r="J98" s="85"/>
      <c r="K98" s="85"/>
    </row>
    <row r="99" spans="2:11">
      <c r="B99" s="85"/>
      <c r="C99" s="85"/>
      <c r="D99" s="84"/>
      <c r="E99" s="85"/>
      <c r="F99" s="85"/>
      <c r="G99" s="86"/>
      <c r="H99" s="85"/>
      <c r="I99" s="85"/>
      <c r="J99" s="85"/>
      <c r="K99" s="85"/>
    </row>
    <row r="100" spans="2:11">
      <c r="B100" s="85"/>
      <c r="C100" s="85"/>
      <c r="D100" s="84"/>
      <c r="E100" s="85"/>
      <c r="F100" s="85"/>
      <c r="G100" s="86"/>
      <c r="H100" s="85"/>
      <c r="I100" s="85"/>
      <c r="J100" s="85"/>
      <c r="K100" s="85"/>
    </row>
    <row r="101" spans="2:11">
      <c r="B101" s="85"/>
      <c r="C101" s="85"/>
      <c r="D101" s="84"/>
      <c r="E101" s="85"/>
      <c r="F101" s="85"/>
      <c r="G101" s="86"/>
      <c r="H101" s="85"/>
      <c r="I101" s="85"/>
      <c r="J101" s="85"/>
      <c r="K101" s="85"/>
    </row>
    <row r="102" spans="2:11">
      <c r="B102" s="85"/>
      <c r="C102" s="85"/>
      <c r="D102" s="84"/>
      <c r="E102" s="85"/>
      <c r="F102" s="85"/>
      <c r="G102" s="86"/>
      <c r="H102" s="85"/>
      <c r="I102" s="85"/>
      <c r="J102" s="85"/>
      <c r="K102" s="85"/>
    </row>
    <row r="103" spans="2:11">
      <c r="B103" s="85"/>
      <c r="C103" s="85"/>
      <c r="D103" s="84"/>
      <c r="E103" s="85"/>
      <c r="F103" s="85"/>
      <c r="G103" s="86"/>
      <c r="H103" s="85"/>
      <c r="I103" s="85"/>
      <c r="J103" s="85"/>
      <c r="K103" s="85"/>
    </row>
  </sheetData>
  <dataValidations count="4">
    <dataValidation type="list" allowBlank="1" showInputMessage="1" showErrorMessage="1" sqref="F2:F40 F71:F83">
      <formula1>INDIRECT($E2)</formula1>
    </dataValidation>
    <dataValidation type="list" allowBlank="1" showInputMessage="1" showErrorMessage="1" sqref="F51:F60">
      <formula1>INDIRECT(#REF!)</formula1>
    </dataValidation>
    <dataValidation type="list" allowBlank="1" showInputMessage="1" showErrorMessage="1" sqref="B51:B70 B84:B103">
      <formula1>نام_صاحب_حساب</formula1>
    </dataValidation>
    <dataValidation type="list" allowBlank="1" showInputMessage="1" showErrorMessage="1" sqref="F61:F70 F84:F103">
      <formula1>INDIRECT($N61)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person!$P$1:$Q$1</xm:f>
          </x14:formula1>
          <xm:sqref>E2:E40 E51:E103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rightToLeft="1" workbookViewId="0">
      <selection activeCell="G20" sqref="G20"/>
    </sheetView>
  </sheetViews>
  <sheetFormatPr defaultColWidth="9" defaultRowHeight="13.8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detail cash</vt:lpstr>
      <vt:lpstr>person</vt:lpstr>
      <vt:lpstr>trans</vt:lpstr>
      <vt:lpstr>loan</vt:lpstr>
      <vt:lpstr>loan guarantor</vt:lpstr>
      <vt:lpstr>main</vt:lpstr>
      <vt:lpstr>projects</vt:lpstr>
      <vt:lpstr>برداشت</vt:lpstr>
      <vt:lpstr>نام_صاحب_حساب</vt:lpstr>
      <vt:lpstr>واريز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hossain</dc:creator>
  <cp:keywords/>
  <dc:description/>
  <cp:lastModifiedBy>hossain</cp:lastModifiedBy>
  <dcterms:created xsi:type="dcterms:W3CDTF">2023-07-18T17:41:19Z</dcterms:created>
  <dcterms:modified xsi:type="dcterms:W3CDTF">2023-08-27T17:14:27Z</dcterms:modified>
  <cp:category/>
</cp:coreProperties>
</file>